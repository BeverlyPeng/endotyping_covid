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bpeng\Documents\pasc_endotyping\"/>
    </mc:Choice>
  </mc:AlternateContent>
  <xr:revisionPtr revIDLastSave="0" documentId="13_ncr:1_{52448A23-83B7-46F4-910D-169B79A541A5}" xr6:coauthVersionLast="47" xr6:coauthVersionMax="47" xr10:uidLastSave="{00000000-0000-0000-0000-000000000000}"/>
  <bookViews>
    <workbookView xWindow="54600" yWindow="-3045" windowWidth="25800" windowHeight="21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B3" i="1" l="1"/>
  <c r="EB4" i="1"/>
  <c r="EB5" i="1"/>
  <c r="EB6" i="1"/>
  <c r="EB7" i="1"/>
  <c r="EB8" i="1"/>
  <c r="EB9" i="1"/>
  <c r="EB10" i="1"/>
  <c r="EB11" i="1"/>
  <c r="EB12" i="1"/>
  <c r="EB13" i="1"/>
  <c r="EB14" i="1"/>
  <c r="EB15" i="1"/>
  <c r="EB16" i="1"/>
  <c r="EB17" i="1"/>
  <c r="EB18" i="1"/>
  <c r="EB19" i="1"/>
  <c r="EB20" i="1"/>
  <c r="EB21" i="1"/>
  <c r="EB22" i="1"/>
  <c r="EB23" i="1"/>
  <c r="EB24" i="1"/>
  <c r="EB25" i="1"/>
  <c r="EB26" i="1"/>
  <c r="EB27" i="1"/>
  <c r="EB28" i="1"/>
  <c r="EB29" i="1"/>
  <c r="EB30" i="1"/>
  <c r="EB31" i="1"/>
  <c r="EB32" i="1"/>
  <c r="EB33" i="1"/>
  <c r="EB34" i="1"/>
  <c r="EB35" i="1"/>
  <c r="EB36" i="1"/>
  <c r="EB37" i="1"/>
  <c r="EB38" i="1"/>
  <c r="EB39" i="1"/>
  <c r="EB40" i="1"/>
  <c r="EB41" i="1"/>
  <c r="EB42" i="1"/>
  <c r="EB43" i="1"/>
  <c r="EB44" i="1"/>
  <c r="EB45" i="1"/>
  <c r="EB46" i="1"/>
  <c r="EB47" i="1"/>
  <c r="EB48" i="1"/>
  <c r="EB49" i="1"/>
  <c r="EB50" i="1"/>
  <c r="EB51" i="1"/>
  <c r="EB52" i="1"/>
  <c r="EB53" i="1"/>
  <c r="EB54" i="1"/>
  <c r="EB55" i="1"/>
  <c r="EB56" i="1"/>
  <c r="EB57" i="1"/>
  <c r="EB58" i="1"/>
  <c r="EB59" i="1"/>
  <c r="EB60" i="1"/>
  <c r="EB61" i="1"/>
  <c r="EB2" i="1"/>
  <c r="CQ61" i="1"/>
  <c r="CP61" i="1"/>
  <c r="CQ60" i="1"/>
  <c r="CP60" i="1"/>
  <c r="CQ59" i="1"/>
  <c r="CP59" i="1"/>
  <c r="CQ58" i="1"/>
  <c r="CP58" i="1"/>
  <c r="CQ57" i="1"/>
  <c r="CP57" i="1"/>
  <c r="CQ56" i="1"/>
  <c r="CP56" i="1"/>
  <c r="CQ55" i="1"/>
  <c r="CP55" i="1"/>
  <c r="CQ54" i="1"/>
  <c r="CP54" i="1"/>
  <c r="CQ53" i="1"/>
  <c r="CP53" i="1"/>
  <c r="CQ52" i="1"/>
  <c r="CP52" i="1"/>
  <c r="CQ51" i="1"/>
  <c r="CP51" i="1"/>
  <c r="CQ50" i="1"/>
  <c r="CP50" i="1"/>
  <c r="CQ49" i="1"/>
  <c r="CP49" i="1"/>
  <c r="CQ48" i="1"/>
  <c r="CP48" i="1"/>
  <c r="CQ47" i="1"/>
  <c r="CP47" i="1"/>
  <c r="CQ46" i="1"/>
  <c r="CP46" i="1"/>
  <c r="CQ45" i="1"/>
  <c r="CP45" i="1"/>
  <c r="CQ44" i="1"/>
  <c r="CP44" i="1"/>
  <c r="CQ43" i="1"/>
  <c r="CP43" i="1"/>
  <c r="CQ42" i="1"/>
  <c r="CP42" i="1"/>
  <c r="CQ41" i="1"/>
  <c r="CP41" i="1"/>
  <c r="CQ40" i="1"/>
  <c r="CP40" i="1"/>
  <c r="CQ39" i="1"/>
  <c r="CP39" i="1"/>
  <c r="CQ38" i="1"/>
  <c r="CP38" i="1"/>
  <c r="CQ37" i="1"/>
  <c r="CP37" i="1"/>
  <c r="CQ36" i="1"/>
  <c r="CP36" i="1"/>
  <c r="CQ35" i="1"/>
  <c r="CP35" i="1"/>
  <c r="CQ34" i="1"/>
  <c r="CP34" i="1"/>
  <c r="CQ33" i="1"/>
  <c r="CP33" i="1"/>
  <c r="CQ32" i="1"/>
  <c r="CP32" i="1"/>
  <c r="CQ31" i="1"/>
  <c r="CP31" i="1"/>
  <c r="CQ30" i="1"/>
  <c r="CP30" i="1"/>
  <c r="CQ29" i="1"/>
  <c r="CP29" i="1"/>
  <c r="CQ28" i="1"/>
  <c r="CP28" i="1"/>
  <c r="CQ27" i="1"/>
  <c r="CP27" i="1"/>
  <c r="CQ26" i="1"/>
  <c r="CP26" i="1"/>
  <c r="CQ25" i="1"/>
  <c r="CP25" i="1"/>
  <c r="CQ24" i="1"/>
  <c r="CP24" i="1"/>
  <c r="CQ23" i="1"/>
  <c r="CP23" i="1"/>
  <c r="CQ22" i="1"/>
  <c r="CP22" i="1"/>
  <c r="CQ21" i="1"/>
  <c r="CP21" i="1"/>
  <c r="CQ20" i="1"/>
  <c r="CP20" i="1"/>
  <c r="CQ19" i="1"/>
  <c r="CP19" i="1"/>
  <c r="CQ18" i="1"/>
  <c r="CP18" i="1"/>
  <c r="CQ17" i="1"/>
  <c r="CP17" i="1"/>
  <c r="CQ16" i="1"/>
  <c r="CP16" i="1"/>
  <c r="CQ15" i="1"/>
  <c r="CP15" i="1"/>
  <c r="CQ14" i="1"/>
  <c r="CP14" i="1"/>
  <c r="CQ13" i="1"/>
  <c r="CP13" i="1"/>
  <c r="CQ12" i="1"/>
  <c r="CP12" i="1"/>
  <c r="CQ11" i="1"/>
  <c r="CP11" i="1"/>
  <c r="CQ10" i="1"/>
  <c r="CP10" i="1"/>
  <c r="CQ9" i="1"/>
  <c r="CP9" i="1"/>
  <c r="CQ8" i="1"/>
  <c r="CP8" i="1"/>
  <c r="CQ7" i="1"/>
  <c r="CP7" i="1"/>
  <c r="CQ6" i="1"/>
  <c r="CP6" i="1"/>
  <c r="CQ5" i="1"/>
  <c r="CP5" i="1"/>
  <c r="CQ4" i="1"/>
  <c r="CP4" i="1"/>
  <c r="CQ3" i="1"/>
  <c r="CP3" i="1"/>
  <c r="CQ2" i="1"/>
  <c r="CP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2" i="1"/>
</calcChain>
</file>

<file path=xl/sharedStrings.xml><?xml version="1.0" encoding="utf-8"?>
<sst xmlns="http://schemas.openxmlformats.org/spreadsheetml/2006/main" count="703" uniqueCount="437">
  <si>
    <t>Subject #</t>
  </si>
  <si>
    <t xml:space="preserve">Gender </t>
  </si>
  <si>
    <t>Age at draw</t>
  </si>
  <si>
    <t>Hormonal Therapy (HT)</t>
  </si>
  <si>
    <t>Dose of HT</t>
  </si>
  <si>
    <t>HIspanic/Latino</t>
  </si>
  <si>
    <t>Race</t>
  </si>
  <si>
    <t>Height (m)</t>
  </si>
  <si>
    <t>Weight KG</t>
  </si>
  <si>
    <t>HTN</t>
  </si>
  <si>
    <t>DM</t>
  </si>
  <si>
    <t>CKD</t>
  </si>
  <si>
    <t>CLD</t>
  </si>
  <si>
    <t>Asthma</t>
  </si>
  <si>
    <t>COPD</t>
  </si>
  <si>
    <t>CLD (chronic lung disease)</t>
  </si>
  <si>
    <t>Stroke</t>
  </si>
  <si>
    <t>Spinal Cord Injury</t>
  </si>
  <si>
    <t>Neuro (Parkinsons, Epilepsy, Dementia)</t>
  </si>
  <si>
    <t>Obesity</t>
  </si>
  <si>
    <t xml:space="preserve">Immunodeficiency </t>
  </si>
  <si>
    <t>Cancer</t>
  </si>
  <si>
    <t>Anxiety</t>
  </si>
  <si>
    <t>Depression</t>
  </si>
  <si>
    <t>Psych</t>
  </si>
  <si>
    <t>Eating disorder</t>
  </si>
  <si>
    <t>IBD/IBS</t>
  </si>
  <si>
    <t xml:space="preserve">Other </t>
  </si>
  <si>
    <t>Antibiotics</t>
  </si>
  <si>
    <t>Oral Steroids</t>
  </si>
  <si>
    <t>NSAID</t>
  </si>
  <si>
    <t>Blood thinners</t>
  </si>
  <si>
    <t>antiplatelet</t>
  </si>
  <si>
    <t>nattokinase, serrpeptase or lumbrokianse</t>
  </si>
  <si>
    <t>Other</t>
  </si>
  <si>
    <t>MRN</t>
  </si>
  <si>
    <t>Match?</t>
  </si>
  <si>
    <t>Abnormal Body Temperature</t>
  </si>
  <si>
    <t>Unexplained sweat/flushing</t>
  </si>
  <si>
    <t>Difficult / Labored Breathing, SoB</t>
  </si>
  <si>
    <t xml:space="preserve">Breathing faster than normal </t>
  </si>
  <si>
    <t>Fatigue (1)</t>
  </si>
  <si>
    <t>Weakness</t>
  </si>
  <si>
    <t>Postexertional Malaise (7)</t>
  </si>
  <si>
    <t>Cough</t>
  </si>
  <si>
    <t>Chronic Cough (4)</t>
  </si>
  <si>
    <t>Dizziness (1)</t>
  </si>
  <si>
    <t>Fainting/blackouts</t>
  </si>
  <si>
    <t>Headache</t>
  </si>
  <si>
    <t>Joint Pain arthralgia</t>
  </si>
  <si>
    <t>Chest Pain (2)</t>
  </si>
  <si>
    <t>Paliptations (2)</t>
  </si>
  <si>
    <t>Brain Fog (3)</t>
  </si>
  <si>
    <t>Confusion, difficulty thinking</t>
  </si>
  <si>
    <t>Disoriented, getting lost</t>
  </si>
  <si>
    <t>Forgetful, memory problem</t>
  </si>
  <si>
    <t>Loss of Taste</t>
  </si>
  <si>
    <t>Loss of Smell</t>
  </si>
  <si>
    <t>Difficulty swallowing</t>
  </si>
  <si>
    <t>Loss of Appetite/weight loss</t>
  </si>
  <si>
    <t>Dry Mouth</t>
  </si>
  <si>
    <t>Thirst (3)</t>
  </si>
  <si>
    <t>Dry Eye</t>
  </si>
  <si>
    <t>Rhinitis</t>
  </si>
  <si>
    <t>Sore throat</t>
  </si>
  <si>
    <t>Diarrhea</t>
  </si>
  <si>
    <t>Nausea</t>
  </si>
  <si>
    <t>Vomitting</t>
  </si>
  <si>
    <t>Acid Reflux/indigestion</t>
  </si>
  <si>
    <t>Bloating</t>
  </si>
  <si>
    <t>Abdominal Pain</t>
  </si>
  <si>
    <t>Muscle Pain</t>
  </si>
  <si>
    <t>Tingling/numbness in the mouth/face</t>
  </si>
  <si>
    <t>Tingling/Numbness burning, stabbing, pin and needle</t>
  </si>
  <si>
    <t>Sleep Disturbace</t>
  </si>
  <si>
    <t>Swelling</t>
  </si>
  <si>
    <t xml:space="preserve">Urinary incontinence </t>
  </si>
  <si>
    <t xml:space="preserve">Menstrual irregularity </t>
  </si>
  <si>
    <t>Hair Loss (0)</t>
  </si>
  <si>
    <t>Rashes/ skin lesions</t>
  </si>
  <si>
    <t>tinnitus</t>
  </si>
  <si>
    <t>Difficulty hearing</t>
  </si>
  <si>
    <t xml:space="preserve">Vision effects/double blurry vision </t>
  </si>
  <si>
    <t>Fever/Chills</t>
  </si>
  <si>
    <t>Mood swing/irritabiity, Depression</t>
  </si>
  <si>
    <t xml:space="preserve">Exaggerated sx or worse from alcohol </t>
  </si>
  <si>
    <t>Sexual desire or capacity (1)</t>
  </si>
  <si>
    <t>Abnormal Movements (1)</t>
  </si>
  <si>
    <t xml:space="preserve">Date of Infection </t>
  </si>
  <si>
    <t>Last Infection prior to draw</t>
  </si>
  <si>
    <t xml:space="preserve">Draw Date </t>
  </si>
  <si>
    <t># of Days post infection at time of Draw</t>
  </si>
  <si>
    <t># of Days Post last Vaccine at time of draw</t>
  </si>
  <si>
    <t>Last Cov Vaccine Prior to Draw</t>
  </si>
  <si>
    <t>All Covid Vaccines</t>
  </si>
  <si>
    <t>Type of Vaccine ( Pfizer = 1, Moderna = 2, Novavax =3, other=4)</t>
  </si>
  <si>
    <t>Neurology Referal</t>
  </si>
  <si>
    <t>Cardiology Referal</t>
  </si>
  <si>
    <t>Cardiology Diagnosis</t>
  </si>
  <si>
    <t>New diagnosis of DVT</t>
  </si>
  <si>
    <t>New diagnosis of Heart problem</t>
  </si>
  <si>
    <t>New diagnosis of stroke</t>
  </si>
  <si>
    <t>New diagnosis of PE</t>
  </si>
  <si>
    <t>New diagnosis of Kidney problem</t>
  </si>
  <si>
    <t>New Diagnosis of liver problem</t>
  </si>
  <si>
    <t>Were you hospitalized for covid?</t>
  </si>
  <si>
    <t xml:space="preserve">Treatment (other) </t>
  </si>
  <si>
    <t>PT</t>
  </si>
  <si>
    <t>Breath work</t>
  </si>
  <si>
    <t>nutrition</t>
  </si>
  <si>
    <t>ENT</t>
  </si>
  <si>
    <t>GI</t>
  </si>
  <si>
    <t>Acupunture</t>
  </si>
  <si>
    <t>Meditiation</t>
  </si>
  <si>
    <t>Cardiac rehab</t>
  </si>
  <si>
    <t>Pulm rehab</t>
  </si>
  <si>
    <t>Psych referral</t>
  </si>
  <si>
    <t>Craniosacral therapy</t>
  </si>
  <si>
    <t>NO treatment</t>
  </si>
  <si>
    <t>PCR? to Diagnose</t>
  </si>
  <si>
    <t>Result</t>
  </si>
  <si>
    <t xml:space="preserve">Titer? </t>
  </si>
  <si>
    <t>Employment prior to covid</t>
  </si>
  <si>
    <t>employment after covid</t>
  </si>
  <si>
    <t>Dietary restriction</t>
  </si>
  <si>
    <t>Food allergy/intollerance</t>
  </si>
  <si>
    <t>Sample ID's Match?</t>
  </si>
  <si>
    <t>Patient ID</t>
  </si>
  <si>
    <t>Overall Sample ID (Luminex Data)</t>
  </si>
  <si>
    <t>RBD MENSA IgG</t>
  </si>
  <si>
    <t>S1 MENSA IgG</t>
  </si>
  <si>
    <t>S2 MENSA IgG</t>
  </si>
  <si>
    <t>NP MENSA IgG</t>
  </si>
  <si>
    <t>CMV_gB_1 MENSA IgG</t>
  </si>
  <si>
    <t>CMV_Pentamer MENSA IgG</t>
  </si>
  <si>
    <t>EBV_EBNA1 MENSA IgG</t>
  </si>
  <si>
    <t>EBV_VCA MENSA IgG</t>
  </si>
  <si>
    <t>EBV_gp350 MENSA IgG</t>
  </si>
  <si>
    <t>HSV2_gD MENSA IgG</t>
  </si>
  <si>
    <t>RBD Serum IgG</t>
  </si>
  <si>
    <t>S1 Serum IgG</t>
  </si>
  <si>
    <t>S2 Serum IgG</t>
  </si>
  <si>
    <t>NP Serum IgG</t>
  </si>
  <si>
    <t>CMV_gB_1 Serum IgG</t>
  </si>
  <si>
    <t>CMV_Pentamer Serum IgG</t>
  </si>
  <si>
    <t>EBV_EBNA1 Serum IgG</t>
  </si>
  <si>
    <t>EBV_VCA Serum IgG</t>
  </si>
  <si>
    <t>EBV_gp350 Serum IgG</t>
  </si>
  <si>
    <t>HSV2_gD Serum IgG</t>
  </si>
  <si>
    <t>F</t>
  </si>
  <si>
    <t>Non-Hispanic</t>
  </si>
  <si>
    <t>AA</t>
  </si>
  <si>
    <t>PTSD, Anemia</t>
  </si>
  <si>
    <t xml:space="preserve">Gabapentin, Naltrexone, Zofran, Ceterizine, famotidine, Valtrex, albuterol, symbicort </t>
  </si>
  <si>
    <t>March of 2020</t>
  </si>
  <si>
    <t>6/8/23, 1/9/23, 4/20/22, 8/21/21, 8/1/21, 3/20/21, 3/1/21, 2/1/21</t>
  </si>
  <si>
    <t>Chest pain/palpitations</t>
  </si>
  <si>
    <t xml:space="preserve">Ritonavir, oral steroids </t>
  </si>
  <si>
    <t>58271-2399-3633</t>
  </si>
  <si>
    <t>pituitary adenoma, migraine, HLD</t>
  </si>
  <si>
    <t>Baclofen, zofran, crestor, imitrex, flonase, linzess</t>
  </si>
  <si>
    <t>Covid on 12/21/2021 and 12/27/22</t>
  </si>
  <si>
    <t>11/15/21, 10/18/21</t>
  </si>
  <si>
    <t>Paxlovid, oral steroids</t>
  </si>
  <si>
    <t>58271-2403-7191</t>
  </si>
  <si>
    <t>M</t>
  </si>
  <si>
    <t>Other (Asian Indian/Middle)</t>
  </si>
  <si>
    <t>BPH, and Arthiritis, OSA</t>
  </si>
  <si>
    <t xml:space="preserve">Fluticasone, atomoxetine, famotidine, monteleukast, fenfoxadine, vit D, gabapentin, crestor, amlodipine, metformin </t>
  </si>
  <si>
    <t>He contracted covid on 12/30/2022</t>
  </si>
  <si>
    <t>9/27/23, 6/21/23, 9/15/22, 6/22/22, 2/10/22, 9/2/21, 1/28/21</t>
  </si>
  <si>
    <t>Molnupiravir, azithromycin, and cough suppressant</t>
  </si>
  <si>
    <t>58271-2400-7283</t>
  </si>
  <si>
    <t>Other (Asian Indian)</t>
  </si>
  <si>
    <t xml:space="preserve">allegra, famotidine, vit D </t>
  </si>
  <si>
    <t>Patient tested positive 5/25/22</t>
  </si>
  <si>
    <t xml:space="preserve">2/17/22, 4/8/21, 3/11/21, </t>
  </si>
  <si>
    <t>1, 2</t>
  </si>
  <si>
    <t>venous reflux</t>
  </si>
  <si>
    <t>58271-2384-7385</t>
  </si>
  <si>
    <t>Caucasian/White</t>
  </si>
  <si>
    <t>smoker (20pack yr)</t>
  </si>
  <si>
    <t xml:space="preserve">protonix, ceterizine, famotidine, naltrexona, lyrica, seroquel. monteleukast, albuterol, bumex, topiramate, levothyroxine </t>
  </si>
  <si>
    <t>covid pna (01/19/2021)</t>
  </si>
  <si>
    <t>n/a</t>
  </si>
  <si>
    <t>58271-2398-7415</t>
  </si>
  <si>
    <t>GERD, ex smoker</t>
  </si>
  <si>
    <t xml:space="preserve">naltrexone, venlafaxine, symbicort, dupixent, famotidine, protonix, spironalactone, </t>
  </si>
  <si>
    <t>COVID on 12/22/2021 and 10/2022</t>
  </si>
  <si>
    <t>9/29/23, 10/7/22, 11/13/21, 4/13/21, 3/16/21</t>
  </si>
  <si>
    <t>n/1</t>
  </si>
  <si>
    <t>58271-2401-7423</t>
  </si>
  <si>
    <t>Black</t>
  </si>
  <si>
    <t xml:space="preserve">OSA </t>
  </si>
  <si>
    <t>famotidine, advair, sertraline, monteleukast,  strattera, plaquenil, zolpidem, flexeril, temazepam</t>
  </si>
  <si>
    <t>Covid 01/15/2021, 2/27/24</t>
  </si>
  <si>
    <t>10/23/23, 9/23/22, 12/28/21, 5/25/21, 4/23/21</t>
  </si>
  <si>
    <t>Tachycardia</t>
  </si>
  <si>
    <t xml:space="preserve">steroids, decadreon </t>
  </si>
  <si>
    <t>58271-2402-7424</t>
  </si>
  <si>
    <t>epilepsy, OSA</t>
  </si>
  <si>
    <t>Gabapentin, Attomoxeitine, seroquel, neulasta, hydrocortisone, propranolol, albuterol, advair, singulair, nexium, topimax</t>
  </si>
  <si>
    <t>contracted covid on 07/05/2020 </t>
  </si>
  <si>
    <t>12/27/21, 6/18/21, 5/28/21</t>
  </si>
  <si>
    <t>dysautonomia</t>
  </si>
  <si>
    <t>employed</t>
  </si>
  <si>
    <t xml:space="preserve">disabled </t>
  </si>
  <si>
    <t>58271-2404-7426</t>
  </si>
  <si>
    <t xml:space="preserve">nortriptylene, xyzal, singulair, advair, spirivia, robaxin, zofran, wellbutrin, protonix </t>
  </si>
  <si>
    <t>6/28/2020, 12/28/2021</t>
  </si>
  <si>
    <t>9/30/21, 9/9/21</t>
  </si>
  <si>
    <t>PVC</t>
  </si>
  <si>
    <t>58271-2257-7010</t>
  </si>
  <si>
    <t>amlodipine, atorvastatin, benadryl, nexium, percocet, tamsulosin</t>
  </si>
  <si>
    <t>only oxygen</t>
  </si>
  <si>
    <t>58271-2268-7023</t>
  </si>
  <si>
    <t>Caucasian</t>
  </si>
  <si>
    <t>RA on Orencia, ADHD on adderall</t>
  </si>
  <si>
    <t xml:space="preserve">strattera, adderall, orencia, lexapro, claritin </t>
  </si>
  <si>
    <t>58271-2269-7024</t>
  </si>
  <si>
    <t xml:space="preserve">xoponex, eliquis </t>
  </si>
  <si>
    <t xml:space="preserve">8/20/2021 (2-3 more infections without dates specified) </t>
  </si>
  <si>
    <t>oxyegn</t>
  </si>
  <si>
    <t>58271-2273-7030</t>
  </si>
  <si>
    <t>none</t>
  </si>
  <si>
    <t>july of 2020</t>
  </si>
  <si>
    <t>May and June 2021 </t>
  </si>
  <si>
    <t xml:space="preserve">pericarditis </t>
  </si>
  <si>
    <t>58271-2276-7033</t>
  </si>
  <si>
    <t>.15/.02/.01</t>
  </si>
  <si>
    <t>eczema, and UC </t>
  </si>
  <si>
    <t xml:space="preserve">ceterizine, nexium, pepcid, nurtec, strattera, lopressor, lyrica, kariva </t>
  </si>
  <si>
    <t>08/23/2021 and 6/28/2022</t>
  </si>
  <si>
    <t xml:space="preserve">Tachycardia </t>
  </si>
  <si>
    <t xml:space="preserve">azithromycin </t>
  </si>
  <si>
    <t>58271-2277-7034</t>
  </si>
  <si>
    <t xml:space="preserve">HLD, polyneuropathy </t>
  </si>
  <si>
    <t>Gabapentine, pyridostygamine, modrine, insuline, torsemide, cromolyn, singulair, famotidine, prozac, creon, lyrica, ibuprofen, nortriptyline</t>
  </si>
  <si>
    <t>11/13/22, 12/18/21, 4/17/21, 3/27/21</t>
  </si>
  <si>
    <t>dysautonomia, tachycardia, venous insufficiency, mast cell activation, POTTS</t>
  </si>
  <si>
    <t>58271-2280*-7032</t>
  </si>
  <si>
    <t xml:space="preserve">epilepsy </t>
  </si>
  <si>
    <t xml:space="preserve">midodrine, nadolol, famotidine, pyridostigamine, protonix, gabapentin, topiramate, lexaapro, albuterol, singulair, klonopin, buspar, flexiril, eliquis, breztri  </t>
  </si>
  <si>
    <t>dysautonomia, venous reflux, ilic vein compression</t>
  </si>
  <si>
    <t>58271-2282-7053</t>
  </si>
  <si>
    <t>2mg</t>
  </si>
  <si>
    <t xml:space="preserve">chronic abdominal pain s/p partial colectomy, narcolepsy </t>
  </si>
  <si>
    <t xml:space="preserve">biotin, celecoxib, compazine, gabapentin, flonase, valtrex,gemtesa, estradiol </t>
  </si>
  <si>
    <t>1/26/2022, 8/11/21, 6/17/21</t>
  </si>
  <si>
    <t>58271-2291-7069</t>
  </si>
  <si>
    <t>RA, partial lung resection, and partial colectomy</t>
  </si>
  <si>
    <t>methylpredisolonoe, insulin, buproprion, albuterol, advair, imuran, plaquenil, losartan, duloxetine, atorvatstain, zyrtec, flonase, eliqsuis, protonix</t>
  </si>
  <si>
    <t>12/18/21, 1/8/22</t>
  </si>
  <si>
    <t>5/22/22, 4/30/21, 4/7/21</t>
  </si>
  <si>
    <t>58271-2292-7075</t>
  </si>
  <si>
    <t xml:space="preserve">famotidine, zyrtec, pulmicort, albuterol, seroquel, nemenda, wellbutrin, ritalin, propranolol, amlodipine </t>
  </si>
  <si>
    <t>4/19/21, 3/29/21</t>
  </si>
  <si>
    <t>58271-2293-7076</t>
  </si>
  <si>
    <t xml:space="preserve">AA </t>
  </si>
  <si>
    <t>HLD, GERD, Barrett's esophagitis, partial colectomy for non-cancerous cecal mass,</t>
  </si>
  <si>
    <t>singuilair, advair, flonase, protonix, sucralatfate, azelastine, buproprion, estradiol patch, albuterol</t>
  </si>
  <si>
    <t>9/1/2022, 09/2023</t>
  </si>
  <si>
    <t>12/18/23, 12/10/22, 7/13/22, 11/2/21, 3/12/21. 2/23/21, 2/1/21</t>
  </si>
  <si>
    <t>tachycardia, iliac vein compression</t>
  </si>
  <si>
    <t xml:space="preserve">diability </t>
  </si>
  <si>
    <t>58271-2294-7077</t>
  </si>
  <si>
    <t>prior tobacco use</t>
  </si>
  <si>
    <t xml:space="preserve">breo, gabapentin, lasix, KCL, amlodpine, lexapro </t>
  </si>
  <si>
    <t>10/29/21, 3/14/21, 2/18/21</t>
  </si>
  <si>
    <t>58271-2297-7090</t>
  </si>
  <si>
    <t>asthma, obesity, MGUS</t>
  </si>
  <si>
    <t>Albuterol, azelastine, ceterizine, flexeril, diclofenac cream, benadryl, wixella, gabapentin, omalizumab, miralax, prednisone, valsartan</t>
  </si>
  <si>
    <t>58271-1495-3198</t>
  </si>
  <si>
    <t>bipolar</t>
  </si>
  <si>
    <t>tylenol, lipitor, amlodipine, losartan, triamteteren-HCTZ, albuterol, ibuprofen, symbicort, aspirin, metformin</t>
  </si>
  <si>
    <t>8/822, 2/25/22, 2/4/22</t>
  </si>
  <si>
    <t>Chest pain</t>
  </si>
  <si>
    <t xml:space="preserve">disability </t>
  </si>
  <si>
    <t>58271-1496-3199</t>
  </si>
  <si>
    <t xml:space="preserve">Hypothyroid, constipation, </t>
  </si>
  <si>
    <t xml:space="preserve">diclofenac gel, KCL, zoloft, synthroid, trazadone, nexium, losartan, HCTZ, diltiazem, albuterol, famotidine </t>
  </si>
  <si>
    <t>2/1/24, 2/8/23, 12/31/21, 5/27/21, 5/3/21</t>
  </si>
  <si>
    <t>Palpitations, PVC</t>
  </si>
  <si>
    <t>58271-1543-3231</t>
  </si>
  <si>
    <t>tobacco use, OSA</t>
  </si>
  <si>
    <t xml:space="preserve">chlorthalidone, atenolol, albuterol, diclofenac gel, ibuprofen, tizanidine </t>
  </si>
  <si>
    <t>4/14/21, 3/24/21</t>
  </si>
  <si>
    <t>58271-1545-3232</t>
  </si>
  <si>
    <t xml:space="preserve">fluoxetine, ceterizine, albuterol, monteleukast, hydralazine, amlopdipine, symbicort </t>
  </si>
  <si>
    <t>3/22/21, 4/19/21</t>
  </si>
  <si>
    <t>Heart failure</t>
  </si>
  <si>
    <t>58271-1546-3234</t>
  </si>
  <si>
    <t>Hispanic</t>
  </si>
  <si>
    <t>His</t>
  </si>
  <si>
    <t>HLD</t>
  </si>
  <si>
    <t xml:space="preserve">crestor, metformin, buspirone, albuteorl, ceterizine </t>
  </si>
  <si>
    <t xml:space="preserve">1/17/22, 6/8/21, 5/11/21, </t>
  </si>
  <si>
    <t>58271-1582-3260</t>
  </si>
  <si>
    <t>HLD, CAD s/p PCI, Heart failure (HF)</t>
  </si>
  <si>
    <t>lexapro, lipitor, plavix, zetia, imdur, lisinopril, metoprolol, albuterol, lasix</t>
  </si>
  <si>
    <t>heart failure</t>
  </si>
  <si>
    <t>58271-1586-3264</t>
  </si>
  <si>
    <t xml:space="preserve">OCD, allergic rhinitis, </t>
  </si>
  <si>
    <t xml:space="preserve">Flovent, strattera, albuterol </t>
  </si>
  <si>
    <t>58271-1627-3290</t>
  </si>
  <si>
    <t xml:space="preserve">afib </t>
  </si>
  <si>
    <t xml:space="preserve">Amlopdine, lidocaine patch, flecanide, olmesartan, tussionex, naloxone, symbicort, clonidine, metoprolol, lasix, aspirin, nexium, KCL, xarleto </t>
  </si>
  <si>
    <t>7/1/2020, covid x3 dates not documented</t>
  </si>
  <si>
    <t>9/10/21, 8/12/21</t>
  </si>
  <si>
    <t>afib</t>
  </si>
  <si>
    <t>remdesivir, dexamethasone, intubated</t>
  </si>
  <si>
    <t>58271-1631-3292</t>
  </si>
  <si>
    <t>HLD, carpal tunnel</t>
  </si>
  <si>
    <t>crestor, ozempic, glipizide, metformin, albuterol, aspirine, atenolol, gabapentin, hctz, lisinopril, insulin</t>
  </si>
  <si>
    <t>12/2/21, 5/25/21, 4/19/21, 11/17/23</t>
  </si>
  <si>
    <t>58271-1638-3299</t>
  </si>
  <si>
    <t xml:space="preserve">diclofenac gel </t>
  </si>
  <si>
    <t>5/13/21, 4/22/21</t>
  </si>
  <si>
    <t xml:space="preserve">dizziness </t>
  </si>
  <si>
    <t xml:space="preserve">employed </t>
  </si>
  <si>
    <t>58271-1676-3320</t>
  </si>
  <si>
    <t>HLD, HF, Afib, OSA</t>
  </si>
  <si>
    <t>flonase, ceterizine, pulmicort, ozempic, eliquis, lipitor, coreg, metformin, plavix, losartan, farxiga, lasix, insulin, amlodipine</t>
  </si>
  <si>
    <t>5/13/21. 4/22/21. 5/31/22. 1/25/22. 1/9/24, 12/14/22</t>
  </si>
  <si>
    <t>afib/chf</t>
  </si>
  <si>
    <t>58271-1678-3322</t>
  </si>
  <si>
    <t xml:space="preserve">HLD, GERD, PTSD, Sleep apnea, 
</t>
  </si>
  <si>
    <t xml:space="preserve">Risperidone, robaxin, albuterol, trazadone, ceterizine, prilosec, lexapro, metformin, valium </t>
  </si>
  <si>
    <t>8/12/21, 7/19/21</t>
  </si>
  <si>
    <t>58271-1679-3323</t>
  </si>
  <si>
    <t xml:space="preserve">amlodipine, topomax, fluticasone, flexeril, nexium, valium </t>
  </si>
  <si>
    <t>6/30/21, 6/9/21</t>
  </si>
  <si>
    <t>pots/arrythmia</t>
  </si>
  <si>
    <t>58271-1680-3324</t>
  </si>
  <si>
    <t>HLD, headaches, OSA</t>
  </si>
  <si>
    <t>tramadol, ibuprofen, lidocaine, losartan, nexium, imitrex, flonase, crestor</t>
  </si>
  <si>
    <t>10/18/2020, 3/29/21</t>
  </si>
  <si>
    <t>palpitations/chestpain</t>
  </si>
  <si>
    <t>58271-1695-3339</t>
  </si>
  <si>
    <t>AA/Caucasian</t>
  </si>
  <si>
    <t>asthma, obesity, IBS-C</t>
  </si>
  <si>
    <t>nortriptyline, albuteorl, symbicort, claritin</t>
  </si>
  <si>
    <t>5/20/21, 4/29/21</t>
  </si>
  <si>
    <t>58271-1697-3341</t>
  </si>
  <si>
    <t>anemia, HLD, neuropathic pain</t>
  </si>
  <si>
    <t xml:space="preserve">ramelteon, famotidine, bentyl, gabapentiin, eliquis, renvela, plavix, lipitor, wellbutrin, zoloft, flonase, albuteorl, lidocaine ointment, calcitriol </t>
  </si>
  <si>
    <t>4/20/23, 1/7/22, 5/18/21, 4/27/21</t>
  </si>
  <si>
    <t>58271-1701-3346</t>
  </si>
  <si>
    <t>orlistat, victoza, insulin, tylenol, albuterol</t>
  </si>
  <si>
    <t>8/27/21, 8/6/21</t>
  </si>
  <si>
    <t>58271-1713-3362</t>
  </si>
  <si>
    <t>Chronic pain, HLD, breast CA s/p lumpectomy</t>
  </si>
  <si>
    <t>albuterol. atorvastatin, lisinopril, nifedipine, pantoprazole, farxiga, metformin, symbicort</t>
  </si>
  <si>
    <t>12/8/21, 6/16/21, 5/26/21, 12/11/23. 11/2/22</t>
  </si>
  <si>
    <t xml:space="preserve">chest pain </t>
  </si>
  <si>
    <t>58271-1714-3365</t>
  </si>
  <si>
    <t>OSA, pseudotumor cerebri</t>
  </si>
  <si>
    <t>losartan, lysteda, ferous sulfate, buproprion</t>
  </si>
  <si>
    <t>4/29/21, 4/8/21</t>
  </si>
  <si>
    <t>58271-1730-3381</t>
  </si>
  <si>
    <t>GERD, HLD</t>
  </si>
  <si>
    <t>ibuprofen, gabapentin, albuterol, advair, tylenol, protonix, topamax</t>
  </si>
  <si>
    <t>6/9/21, 5/19/21</t>
  </si>
  <si>
    <t>58271-1734-3386</t>
  </si>
  <si>
    <t>HLD, anemia, GERD, asthma, OSA, psoriasis</t>
  </si>
  <si>
    <t>secukinumab, protonix, nexium, celexa, prednisone, amldopine, albuteorl, gabapentin, lisinopril, metformin, farxiga, claritin, flonase, trulicity, nirmatrelvir (study drug RECOVER)</t>
  </si>
  <si>
    <t>8/7/21, 7/17/21</t>
  </si>
  <si>
    <t>tachycardia</t>
  </si>
  <si>
    <t>58271-1738-3391</t>
  </si>
  <si>
    <t>HLD, Afib</t>
  </si>
  <si>
    <t xml:space="preserve">fluconazole </t>
  </si>
  <si>
    <t>11/30/21, 5/5/21, 4/14/21</t>
  </si>
  <si>
    <t>afib/palpitations/chest pain</t>
  </si>
  <si>
    <t>58271-1747-3400</t>
  </si>
  <si>
    <t xml:space="preserve">HLD, cardiomyopathy </t>
  </si>
  <si>
    <t>Alogliptin, lipitor, metformin, coreg, farxiga, torsemide, aldactone, entresto, nexium, loratidine, albuterol, flovent</t>
  </si>
  <si>
    <t>12/18/21, 5/22/21, 5/1/21, 4/10/24</t>
  </si>
  <si>
    <t>58271-1748-3401</t>
  </si>
  <si>
    <t>norgestimate-ethinyl estradiol 0.25-35</t>
  </si>
  <si>
    <t>Seizure disorder</t>
  </si>
  <si>
    <t xml:space="preserve">folate, lamotrigine, fluticasone, albterol </t>
  </si>
  <si>
    <t>58271-1751-3404</t>
  </si>
  <si>
    <t xml:space="preserve">Osteoarthritis </t>
  </si>
  <si>
    <t xml:space="preserve">famotidine, allegra, sttrattera, prednisone </t>
  </si>
  <si>
    <t>1/10/22, 6/1/21, 5/4/21</t>
  </si>
  <si>
    <t>58271-1776-3427</t>
  </si>
  <si>
    <t>Hypoxic respiratory failure, PE</t>
  </si>
  <si>
    <t>7/1/21, 6/3/21</t>
  </si>
  <si>
    <t>dexamethasone, remdesivir</t>
  </si>
  <si>
    <t>58271-1786-3438</t>
  </si>
  <si>
    <t>Vertigo, anxiety, PTSD, depression</t>
  </si>
  <si>
    <t>claritin, clonazapema, meclizine, valtrex</t>
  </si>
  <si>
    <t>10/17/21, 9/19/21</t>
  </si>
  <si>
    <t>58271-1802-3459</t>
  </si>
  <si>
    <t>allergic rhinitis, tobacco use</t>
  </si>
  <si>
    <t>10/3/22, 5/26/22, 1/4/22, 6/9/21, 5/19/21</t>
  </si>
  <si>
    <t>steroids</t>
  </si>
  <si>
    <t>58271-1803-3460</t>
  </si>
  <si>
    <t xml:space="preserve">aluterol </t>
  </si>
  <si>
    <t xml:space="preserve">6/17/21, 5/11/21 </t>
  </si>
  <si>
    <t xml:space="preserve">remdesivir, dexamethasone </t>
  </si>
  <si>
    <t>58271-1812-3471</t>
  </si>
  <si>
    <t>anemia</t>
  </si>
  <si>
    <t>albuterol, flutisaone, iron, senna</t>
  </si>
  <si>
    <t>58271-1814-3474</t>
  </si>
  <si>
    <t xml:space="preserve">xanax, topamax, sertraline, trazadone, lipitor, flonase, naproxen, triamcinolone, albuterol </t>
  </si>
  <si>
    <t>12/17/2020, 12/2022</t>
  </si>
  <si>
    <t>6/10/21, 5/8/21</t>
  </si>
  <si>
    <t xml:space="preserve">tachycardia </t>
  </si>
  <si>
    <t>58271-1819-3475</t>
  </si>
  <si>
    <t>estradiol 2mg</t>
  </si>
  <si>
    <t xml:space="preserve">transgender </t>
  </si>
  <si>
    <t xml:space="preserve">estradiol, spironalactone, vit D </t>
  </si>
  <si>
    <t>eliquis, abx</t>
  </si>
  <si>
    <t>58271-1831-3503</t>
  </si>
  <si>
    <t>fluoxetine, quetiapine, ceterizine, famotidine, atarax</t>
  </si>
  <si>
    <t>58271-1838-3532</t>
  </si>
  <si>
    <t>TBI, migraines</t>
  </si>
  <si>
    <t>trazadone, eletriptan, naproxen, gabapentin, duoloxetine, robaxin, toradol, protonix</t>
  </si>
  <si>
    <t>dizziness/tachycardia</t>
  </si>
  <si>
    <t>58271-1847-3556</t>
  </si>
  <si>
    <r>
      <rPr>
        <strike/>
        <sz val="10"/>
        <color rgb="FF000000"/>
        <rFont val="Aptos Narrow"/>
        <scheme val="minor"/>
      </rPr>
      <t>3579</t>
    </r>
    <r>
      <rPr>
        <sz val="10"/>
        <color rgb="FF000000"/>
        <rFont val="Aptos Narrow"/>
        <scheme val="minor"/>
      </rPr>
      <t xml:space="preserve"> 3582</t>
    </r>
  </si>
  <si>
    <t xml:space="preserve">allergic rhinitis </t>
  </si>
  <si>
    <t>pericarditis, POTS</t>
  </si>
  <si>
    <r>
      <rPr>
        <strike/>
        <sz val="11"/>
        <color rgb="FF000000"/>
        <rFont val="Aptos Narrow"/>
        <family val="2"/>
        <scheme val="minor"/>
      </rPr>
      <t>3579</t>
    </r>
    <r>
      <rPr>
        <sz val="11"/>
        <color rgb="FF000000"/>
        <rFont val="Aptos Narrow"/>
        <family val="2"/>
        <scheme val="minor"/>
      </rPr>
      <t xml:space="preserve"> 3582</t>
    </r>
  </si>
  <si>
    <t>58271-1852-3579</t>
  </si>
  <si>
    <t>hepatitis, pancreatitis, OSA</t>
  </si>
  <si>
    <t xml:space="preserve">robaxin, celexa, gabapentin, ibuprofen, albuteorl, flonase, symbicort, tylenol, lidocaine pathc </t>
  </si>
  <si>
    <t>58271-1853-3580</t>
  </si>
  <si>
    <t xml:space="preserve">flexeril, albuterol, zyrtec, </t>
  </si>
  <si>
    <t>58271-1859-3591</t>
  </si>
  <si>
    <t>ADD, hypothyroid, allergic rhinitis, obesity</t>
  </si>
  <si>
    <t>pericarditis</t>
  </si>
  <si>
    <t>58271-1862-3593</t>
  </si>
  <si>
    <t>Cluster ID (15 clusters)</t>
  </si>
  <si>
    <t>Cluster ID (16 clusters)</t>
  </si>
  <si>
    <t>Anxiety_2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</si>
</sst>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m/d/yy;@"/>
  </numFmts>
  <fonts count="18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</font>
    <font>
      <u val="double"/>
      <sz val="10"/>
      <color theme="1"/>
      <name val="Calibri"/>
    </font>
    <font>
      <sz val="10"/>
      <color rgb="FF000000"/>
      <name val="Calibri"/>
    </font>
    <font>
      <sz val="10"/>
      <color rgb="FFFF0000"/>
      <name val="Calibri"/>
    </font>
    <font>
      <strike/>
      <sz val="10"/>
      <color rgb="FF000000"/>
      <name val="Aptos Narrow"/>
      <scheme val="minor"/>
    </font>
    <font>
      <sz val="10"/>
      <color rgb="FF000000"/>
      <name val="Aptos Narrow"/>
      <scheme val="minor"/>
    </font>
    <font>
      <sz val="11"/>
      <color rgb="FF000000"/>
      <name val="Aptos"/>
      <charset val="1"/>
    </font>
    <font>
      <sz val="8"/>
      <color theme="1"/>
      <name val="Arial"/>
      <charset val="1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trike/>
      <sz val="11"/>
      <color rgb="FF00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ED6EB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 applyAlignment="1">
      <alignment horizontal="center" wrapText="1"/>
    </xf>
    <xf numFmtId="164" fontId="5" fillId="0" borderId="1" xfId="0" applyNumberFormat="1" applyFont="1" applyBorder="1" applyAlignment="1">
      <alignment horizontal="right" wrapText="1"/>
    </xf>
    <xf numFmtId="0" fontId="5" fillId="3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3" xfId="0" applyFont="1" applyBorder="1"/>
    <xf numFmtId="0" fontId="5" fillId="4" borderId="3" xfId="0" applyFont="1" applyFill="1" applyBorder="1" applyAlignment="1">
      <alignment wrapText="1"/>
    </xf>
    <xf numFmtId="17" fontId="5" fillId="4" borderId="3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horizontal="center" wrapText="1"/>
    </xf>
    <xf numFmtId="164" fontId="5" fillId="0" borderId="3" xfId="0" applyNumberFormat="1" applyFont="1" applyBorder="1" applyAlignment="1">
      <alignment wrapText="1"/>
    </xf>
    <xf numFmtId="1" fontId="5" fillId="4" borderId="3" xfId="0" applyNumberFormat="1" applyFont="1" applyFill="1" applyBorder="1" applyAlignment="1">
      <alignment horizontal="center" wrapText="1"/>
    </xf>
    <xf numFmtId="14" fontId="5" fillId="4" borderId="3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wrapText="1"/>
    </xf>
    <xf numFmtId="0" fontId="5" fillId="3" borderId="5" xfId="0" applyFont="1" applyFill="1" applyBorder="1" applyAlignment="1">
      <alignment horizontal="center" wrapText="1"/>
    </xf>
    <xf numFmtId="0" fontId="5" fillId="0" borderId="5" xfId="0" applyFont="1" applyBorder="1" applyAlignment="1">
      <alignment wrapText="1"/>
    </xf>
    <xf numFmtId="0" fontId="5" fillId="0" borderId="5" xfId="0" applyFont="1" applyBorder="1"/>
    <xf numFmtId="0" fontId="5" fillId="4" borderId="5" xfId="0" applyFont="1" applyFill="1" applyBorder="1" applyAlignment="1">
      <alignment wrapText="1"/>
    </xf>
    <xf numFmtId="0" fontId="5" fillId="0" borderId="5" xfId="0" applyFont="1" applyBorder="1" applyAlignment="1">
      <alignment horizontal="center" wrapText="1"/>
    </xf>
    <xf numFmtId="164" fontId="5" fillId="0" borderId="5" xfId="0" applyNumberFormat="1" applyFont="1" applyBorder="1" applyAlignment="1">
      <alignment horizontal="center" wrapText="1"/>
    </xf>
    <xf numFmtId="164" fontId="5" fillId="0" borderId="5" xfId="0" applyNumberFormat="1" applyFont="1" applyBorder="1" applyAlignment="1">
      <alignment wrapText="1"/>
    </xf>
    <xf numFmtId="1" fontId="5" fillId="4" borderId="5" xfId="0" applyNumberFormat="1" applyFont="1" applyFill="1" applyBorder="1" applyAlignment="1">
      <alignment horizontal="center" wrapText="1"/>
    </xf>
    <xf numFmtId="14" fontId="5" fillId="4" borderId="5" xfId="0" applyNumberFormat="1" applyFont="1" applyFill="1" applyBorder="1" applyAlignment="1">
      <alignment wrapText="1"/>
    </xf>
    <xf numFmtId="0" fontId="6" fillId="4" borderId="5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4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center" wrapText="1"/>
    </xf>
    <xf numFmtId="164" fontId="5" fillId="0" borderId="1" xfId="0" applyNumberFormat="1" applyFont="1" applyBorder="1" applyAlignment="1">
      <alignment wrapText="1"/>
    </xf>
    <xf numFmtId="1" fontId="5" fillId="4" borderId="1" xfId="0" applyNumberFormat="1" applyFont="1" applyFill="1" applyBorder="1" applyAlignment="1">
      <alignment horizontal="center" wrapText="1"/>
    </xf>
    <xf numFmtId="14" fontId="5" fillId="4" borderId="1" xfId="0" applyNumberFormat="1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7" fillId="0" borderId="1" xfId="0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 wrapText="1"/>
    </xf>
    <xf numFmtId="14" fontId="5" fillId="0" borderId="1" xfId="0" applyNumberFormat="1" applyFont="1" applyBorder="1" applyAlignment="1">
      <alignment wrapText="1"/>
    </xf>
    <xf numFmtId="0" fontId="5" fillId="0" borderId="3" xfId="0" applyFont="1" applyBorder="1" applyAlignment="1">
      <alignment horizontal="center" wrapText="1"/>
    </xf>
    <xf numFmtId="164" fontId="5" fillId="0" borderId="3" xfId="0" applyNumberFormat="1" applyFont="1" applyBorder="1" applyAlignment="1">
      <alignment horizontal="center" wrapText="1"/>
    </xf>
    <xf numFmtId="14" fontId="5" fillId="0" borderId="3" xfId="0" applyNumberFormat="1" applyFont="1" applyBorder="1" applyAlignment="1">
      <alignment wrapText="1"/>
    </xf>
    <xf numFmtId="0" fontId="7" fillId="3" borderId="1" xfId="0" applyFont="1" applyFill="1" applyBorder="1" applyAlignment="1">
      <alignment horizontal="center" wrapText="1"/>
    </xf>
    <xf numFmtId="14" fontId="7" fillId="0" borderId="1" xfId="0" applyNumberFormat="1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 wrapText="1"/>
    </xf>
    <xf numFmtId="17" fontId="5" fillId="0" borderId="1" xfId="0" applyNumberFormat="1" applyFont="1" applyBorder="1" applyAlignment="1">
      <alignment wrapText="1"/>
    </xf>
    <xf numFmtId="165" fontId="5" fillId="4" borderId="1" xfId="0" applyNumberFormat="1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14" fontId="8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wrapText="1"/>
    </xf>
    <xf numFmtId="165" fontId="5" fillId="0" borderId="1" xfId="0" applyNumberFormat="1" applyFont="1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4" borderId="6" xfId="0" applyFont="1" applyFill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4" borderId="4" xfId="0" applyFont="1" applyFill="1" applyBorder="1" applyAlignment="1">
      <alignment horizontal="left" wrapText="1"/>
    </xf>
    <xf numFmtId="0" fontId="11" fillId="0" borderId="0" xfId="0" applyFont="1" applyAlignment="1">
      <alignment horizontal="center"/>
    </xf>
    <xf numFmtId="0" fontId="4" fillId="13" borderId="1" xfId="0" applyFont="1" applyFill="1" applyBorder="1" applyAlignment="1">
      <alignment wrapText="1"/>
    </xf>
    <xf numFmtId="0" fontId="3" fillId="1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wrapText="1"/>
    </xf>
    <xf numFmtId="0" fontId="3" fillId="12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12" fillId="0" borderId="0" xfId="0" applyFont="1" applyAlignment="1">
      <alignment wrapText="1"/>
    </xf>
    <xf numFmtId="1" fontId="4" fillId="7" borderId="1" xfId="0" applyNumberFormat="1" applyFont="1" applyFill="1" applyBorder="1" applyAlignment="1">
      <alignment wrapText="1"/>
    </xf>
    <xf numFmtId="1" fontId="5" fillId="4" borderId="5" xfId="0" applyNumberFormat="1" applyFont="1" applyFill="1" applyBorder="1" applyAlignment="1">
      <alignment wrapText="1"/>
    </xf>
    <xf numFmtId="1" fontId="5" fillId="4" borderId="1" xfId="0" applyNumberFormat="1" applyFont="1" applyFill="1" applyBorder="1" applyAlignment="1">
      <alignment wrapText="1"/>
    </xf>
    <xf numFmtId="1" fontId="5" fillId="0" borderId="1" xfId="0" applyNumberFormat="1" applyFont="1" applyBorder="1" applyAlignment="1">
      <alignment wrapText="1"/>
    </xf>
    <xf numFmtId="1" fontId="5" fillId="0" borderId="3" xfId="0" applyNumberFormat="1" applyFont="1" applyBorder="1" applyAlignment="1">
      <alignment wrapText="1"/>
    </xf>
    <xf numFmtId="1" fontId="0" fillId="0" borderId="0" xfId="0" applyNumberFormat="1"/>
    <xf numFmtId="0" fontId="5" fillId="14" borderId="1" xfId="0" applyFont="1" applyFill="1" applyBorder="1" applyAlignment="1">
      <alignment horizontal="center" wrapText="1"/>
    </xf>
    <xf numFmtId="0" fontId="7" fillId="14" borderId="1" xfId="0" applyFont="1" applyFill="1" applyBorder="1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13" fillId="15" borderId="9" xfId="0" applyFont="1" applyFill="1" applyBorder="1" applyAlignment="1">
      <alignment horizontal="center" vertical="center" wrapText="1"/>
    </xf>
    <xf numFmtId="0" fontId="0" fillId="15" borderId="10" xfId="0" applyFill="1" applyBorder="1" applyAlignment="1">
      <alignment horizontal="center" vertical="center" wrapText="1"/>
    </xf>
    <xf numFmtId="0" fontId="0" fillId="15" borderId="11" xfId="0" applyFill="1" applyBorder="1" applyAlignment="1">
      <alignment horizontal="center" vertical="center" wrapText="1"/>
    </xf>
    <xf numFmtId="0" fontId="13" fillId="16" borderId="9" xfId="0" applyFont="1" applyFill="1" applyBorder="1" applyAlignment="1">
      <alignment horizontal="center" vertical="center" wrapText="1"/>
    </xf>
    <xf numFmtId="0" fontId="0" fillId="16" borderId="10" xfId="0" applyFill="1" applyBorder="1" applyAlignment="1">
      <alignment horizontal="center" vertical="center" wrapText="1"/>
    </xf>
    <xf numFmtId="0" fontId="0" fillId="16" borderId="12" xfId="0" applyFill="1" applyBorder="1" applyAlignment="1">
      <alignment horizontal="center" vertical="center" wrapText="1"/>
    </xf>
    <xf numFmtId="3" fontId="0" fillId="0" borderId="13" xfId="0" applyNumberFormat="1" applyBorder="1"/>
    <xf numFmtId="3" fontId="0" fillId="0" borderId="14" xfId="0" applyNumberFormat="1" applyBorder="1"/>
    <xf numFmtId="3" fontId="0" fillId="0" borderId="8" xfId="0" applyNumberFormat="1" applyBorder="1"/>
    <xf numFmtId="3" fontId="13" fillId="0" borderId="13" xfId="0" applyNumberFormat="1" applyFont="1" applyBorder="1"/>
    <xf numFmtId="3" fontId="0" fillId="0" borderId="15" xfId="0" applyNumberFormat="1" applyBorder="1"/>
    <xf numFmtId="3" fontId="13" fillId="0" borderId="16" xfId="0" applyNumberFormat="1" applyFont="1" applyBorder="1"/>
    <xf numFmtId="3" fontId="0" fillId="0" borderId="17" xfId="0" applyNumberFormat="1" applyBorder="1"/>
    <xf numFmtId="3" fontId="0" fillId="0" borderId="18" xfId="0" applyNumberFormat="1" applyBorder="1"/>
    <xf numFmtId="3" fontId="0" fillId="0" borderId="19" xfId="0" applyNumberFormat="1" applyBorder="1"/>
    <xf numFmtId="0" fontId="15" fillId="3" borderId="4" xfId="0" applyFont="1" applyFill="1" applyBorder="1" applyAlignment="1">
      <alignment horizontal="center" wrapText="1"/>
    </xf>
    <xf numFmtId="0" fontId="14" fillId="3" borderId="1" xfId="0" applyFont="1" applyFill="1" applyBorder="1" applyAlignment="1">
      <alignment horizontal="center" wrapText="1"/>
    </xf>
    <xf numFmtId="0" fontId="15" fillId="3" borderId="1" xfId="0" applyFont="1" applyFill="1" applyBorder="1" applyAlignment="1">
      <alignment horizontal="center" wrapText="1"/>
    </xf>
    <xf numFmtId="0" fontId="16" fillId="3" borderId="1" xfId="0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3" fillId="6" borderId="1" xfId="0" applyFont="1" applyFill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62"/>
  <sheetViews>
    <sheetView tabSelected="1" topLeftCell="BV1" workbookViewId="0">
      <pane ySplit="1" topLeftCell="A2" activePane="bottomLeft" state="frozen"/>
      <selection pane="bottomLeft" activeCell="BZ4" sqref="BZ4"/>
    </sheetView>
  </sheetViews>
  <sheetFormatPr defaultRowHeight="14.4" x14ac:dyDescent="0.3"/>
  <cols>
    <col min="1" max="1" width="16.109375" customWidth="1"/>
    <col min="2" max="2" width="13" style="65" hidden="1" customWidth="1"/>
    <col min="7" max="7" width="13" style="2" customWidth="1"/>
    <col min="8" max="8" width="9.109375" style="67"/>
    <col min="20" max="20" width="11.109375" customWidth="1"/>
    <col min="25" max="25" width="10.44140625" customWidth="1"/>
    <col min="29" max="29" width="28.88671875" style="2" customWidth="1"/>
    <col min="30" max="30" width="10.6640625" customWidth="1"/>
    <col min="34" max="34" width="12" customWidth="1"/>
    <col min="35" max="35" width="13.88671875" customWidth="1"/>
    <col min="36" max="36" width="26.88671875" style="2" customWidth="1"/>
    <col min="37" max="37" width="10.44140625" customWidth="1"/>
    <col min="38" max="40" width="8" customWidth="1"/>
    <col min="75" max="75" width="12.33203125" customWidth="1"/>
    <col min="91" max="91" width="12.44140625" customWidth="1"/>
    <col min="93" max="93" width="11" customWidth="1"/>
    <col min="96" max="96" width="13.109375" customWidth="1"/>
    <col min="97" max="97" width="19" customWidth="1"/>
    <col min="98" max="98" width="13.109375" style="89" customWidth="1"/>
    <col min="101" max="101" width="21" customWidth="1"/>
    <col min="102" max="107" width="11" customWidth="1"/>
    <col min="109" max="109" width="14.33203125" style="2" customWidth="1"/>
    <col min="134" max="134" width="9.109375" style="2"/>
  </cols>
  <sheetData>
    <row r="1" spans="1:154" s="4" customFormat="1" ht="101.25" customHeight="1" x14ac:dyDescent="0.3">
      <c r="A1" s="3" t="s">
        <v>0</v>
      </c>
      <c r="B1" s="3"/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11" t="s">
        <v>35</v>
      </c>
      <c r="AL1" s="7" t="s">
        <v>36</v>
      </c>
      <c r="AM1" s="78" t="s">
        <v>37</v>
      </c>
      <c r="AN1" s="78" t="s">
        <v>38</v>
      </c>
      <c r="AO1" s="77" t="s">
        <v>39</v>
      </c>
      <c r="AP1" s="77" t="s">
        <v>40</v>
      </c>
      <c r="AQ1" s="77" t="s">
        <v>41</v>
      </c>
      <c r="AR1" s="77" t="s">
        <v>42</v>
      </c>
      <c r="AS1" s="79" t="s">
        <v>43</v>
      </c>
      <c r="AT1" s="77" t="s">
        <v>44</v>
      </c>
      <c r="AU1" s="77" t="s">
        <v>45</v>
      </c>
      <c r="AV1" s="77" t="s">
        <v>46</v>
      </c>
      <c r="AW1" s="77" t="s">
        <v>47</v>
      </c>
      <c r="AX1" s="77" t="s">
        <v>48</v>
      </c>
      <c r="AY1" s="77" t="s">
        <v>49</v>
      </c>
      <c r="AZ1" s="77" t="s">
        <v>50</v>
      </c>
      <c r="BA1" s="77" t="s">
        <v>51</v>
      </c>
      <c r="BB1" s="77" t="s">
        <v>52</v>
      </c>
      <c r="BC1" s="77" t="s">
        <v>53</v>
      </c>
      <c r="BD1" s="77" t="s">
        <v>54</v>
      </c>
      <c r="BE1" s="77" t="s">
        <v>55</v>
      </c>
      <c r="BF1" s="77" t="s">
        <v>56</v>
      </c>
      <c r="BG1" s="77" t="s">
        <v>57</v>
      </c>
      <c r="BH1" s="77" t="s">
        <v>58</v>
      </c>
      <c r="BI1" s="77" t="s">
        <v>59</v>
      </c>
      <c r="BJ1" s="79" t="s">
        <v>60</v>
      </c>
      <c r="BK1" s="79" t="s">
        <v>61</v>
      </c>
      <c r="BL1" s="79" t="s">
        <v>62</v>
      </c>
      <c r="BM1" s="79" t="s">
        <v>63</v>
      </c>
      <c r="BN1" s="77" t="s">
        <v>64</v>
      </c>
      <c r="BO1" s="77" t="s">
        <v>65</v>
      </c>
      <c r="BP1" s="77" t="s">
        <v>66</v>
      </c>
      <c r="BQ1" s="77" t="s">
        <v>67</v>
      </c>
      <c r="BR1" s="77" t="s">
        <v>68</v>
      </c>
      <c r="BS1" s="77" t="s">
        <v>69</v>
      </c>
      <c r="BT1" s="77" t="s">
        <v>70</v>
      </c>
      <c r="BU1" s="77" t="s">
        <v>71</v>
      </c>
      <c r="BV1" s="77" t="s">
        <v>72</v>
      </c>
      <c r="BW1" s="77" t="s">
        <v>73</v>
      </c>
      <c r="BX1" s="77" t="s">
        <v>74</v>
      </c>
      <c r="BY1" s="77" t="s">
        <v>75</v>
      </c>
      <c r="BZ1" s="77" t="s">
        <v>76</v>
      </c>
      <c r="CA1" s="77" t="s">
        <v>77</v>
      </c>
      <c r="CB1" s="77" t="s">
        <v>78</v>
      </c>
      <c r="CC1" s="77" t="s">
        <v>79</v>
      </c>
      <c r="CD1" s="77" t="s">
        <v>80</v>
      </c>
      <c r="CE1" s="77" t="s">
        <v>81</v>
      </c>
      <c r="CF1" s="77" t="s">
        <v>82</v>
      </c>
      <c r="CG1" s="77" t="s">
        <v>83</v>
      </c>
      <c r="CH1" s="113" t="s">
        <v>436</v>
      </c>
      <c r="CI1" s="77" t="s">
        <v>84</v>
      </c>
      <c r="CJ1" s="77" t="s">
        <v>85</v>
      </c>
      <c r="CK1" s="77" t="s">
        <v>86</v>
      </c>
      <c r="CL1" s="79" t="s">
        <v>87</v>
      </c>
      <c r="CM1" s="12" t="s">
        <v>88</v>
      </c>
      <c r="CN1" s="12" t="s">
        <v>89</v>
      </c>
      <c r="CO1" s="12" t="s">
        <v>90</v>
      </c>
      <c r="CP1" s="13" t="s">
        <v>91</v>
      </c>
      <c r="CQ1" s="13" t="s">
        <v>92</v>
      </c>
      <c r="CR1" s="12" t="s">
        <v>93</v>
      </c>
      <c r="CS1" s="12" t="s">
        <v>94</v>
      </c>
      <c r="CT1" s="84" t="s">
        <v>95</v>
      </c>
      <c r="CU1" s="12" t="s">
        <v>96</v>
      </c>
      <c r="CV1" s="12" t="s">
        <v>97</v>
      </c>
      <c r="CW1" s="12" t="s">
        <v>98</v>
      </c>
      <c r="CX1" s="12" t="s">
        <v>99</v>
      </c>
      <c r="CY1" s="12" t="s">
        <v>100</v>
      </c>
      <c r="CZ1" s="12" t="s">
        <v>101</v>
      </c>
      <c r="DA1" s="12" t="s">
        <v>102</v>
      </c>
      <c r="DB1" s="12" t="s">
        <v>103</v>
      </c>
      <c r="DC1" s="12" t="s">
        <v>104</v>
      </c>
      <c r="DD1" s="6" t="s">
        <v>105</v>
      </c>
      <c r="DE1" s="6" t="s">
        <v>106</v>
      </c>
      <c r="DF1" s="6" t="s">
        <v>107</v>
      </c>
      <c r="DG1" s="6" t="s">
        <v>108</v>
      </c>
      <c r="DH1" s="6" t="s">
        <v>109</v>
      </c>
      <c r="DI1" s="6" t="s">
        <v>110</v>
      </c>
      <c r="DJ1" s="6" t="s">
        <v>111</v>
      </c>
      <c r="DK1" s="6" t="s">
        <v>112</v>
      </c>
      <c r="DL1" s="6" t="s">
        <v>113</v>
      </c>
      <c r="DM1" s="6" t="s">
        <v>114</v>
      </c>
      <c r="DN1" s="6" t="s">
        <v>115</v>
      </c>
      <c r="DO1" s="6" t="s">
        <v>116</v>
      </c>
      <c r="DP1" s="6" t="s">
        <v>117</v>
      </c>
      <c r="DQ1" s="6" t="s">
        <v>118</v>
      </c>
      <c r="DR1" s="10" t="s">
        <v>119</v>
      </c>
      <c r="DS1" s="10" t="s">
        <v>120</v>
      </c>
      <c r="DT1" s="10" t="s">
        <v>121</v>
      </c>
      <c r="DU1" s="80" t="s">
        <v>122</v>
      </c>
      <c r="DV1" s="80" t="s">
        <v>123</v>
      </c>
      <c r="DW1" s="80" t="s">
        <v>124</v>
      </c>
      <c r="DX1" s="80" t="s">
        <v>125</v>
      </c>
      <c r="DZ1" s="4" t="s">
        <v>435</v>
      </c>
      <c r="EA1" s="4" t="s">
        <v>434</v>
      </c>
      <c r="EB1" s="67" t="s">
        <v>126</v>
      </c>
      <c r="EC1" s="67" t="s">
        <v>127</v>
      </c>
      <c r="ED1" s="92" t="s">
        <v>128</v>
      </c>
      <c r="EE1" s="93" t="s">
        <v>129</v>
      </c>
      <c r="EF1" s="94" t="s">
        <v>130</v>
      </c>
      <c r="EG1" s="94" t="s">
        <v>131</v>
      </c>
      <c r="EH1" s="94" t="s">
        <v>132</v>
      </c>
      <c r="EI1" s="94" t="s">
        <v>133</v>
      </c>
      <c r="EJ1" s="94" t="s">
        <v>134</v>
      </c>
      <c r="EK1" s="94" t="s">
        <v>135</v>
      </c>
      <c r="EL1" s="94" t="s">
        <v>136</v>
      </c>
      <c r="EM1" s="94" t="s">
        <v>137</v>
      </c>
      <c r="EN1" s="95" t="s">
        <v>138</v>
      </c>
      <c r="EO1" s="96" t="s">
        <v>139</v>
      </c>
      <c r="EP1" s="97" t="s">
        <v>140</v>
      </c>
      <c r="EQ1" s="97" t="s">
        <v>141</v>
      </c>
      <c r="ER1" s="97" t="s">
        <v>142</v>
      </c>
      <c r="ES1" s="97" t="s">
        <v>143</v>
      </c>
      <c r="ET1" s="97" t="s">
        <v>144</v>
      </c>
      <c r="EU1" s="97" t="s">
        <v>145</v>
      </c>
      <c r="EV1" s="97" t="s">
        <v>146</v>
      </c>
      <c r="EW1" s="97" t="s">
        <v>147</v>
      </c>
      <c r="EX1" s="98" t="s">
        <v>148</v>
      </c>
    </row>
    <row r="2" spans="1:154" s="17" customFormat="1" ht="55.2" x14ac:dyDescent="0.3">
      <c r="A2" s="15">
        <v>3633</v>
      </c>
      <c r="B2" s="49"/>
      <c r="C2" s="61" t="s">
        <v>149</v>
      </c>
      <c r="D2" s="81">
        <v>56</v>
      </c>
      <c r="E2" s="17">
        <v>0</v>
      </c>
      <c r="F2" s="17">
        <v>0</v>
      </c>
      <c r="G2" s="59" t="s">
        <v>150</v>
      </c>
      <c r="H2" s="40" t="s">
        <v>151</v>
      </c>
      <c r="I2" s="17">
        <v>1.575</v>
      </c>
      <c r="J2" s="17">
        <v>51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1</v>
      </c>
      <c r="AA2" s="17">
        <v>0</v>
      </c>
      <c r="AB2" s="17">
        <v>0</v>
      </c>
      <c r="AC2" s="16" t="s">
        <v>152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6" t="s">
        <v>153</v>
      </c>
      <c r="AK2" s="16">
        <v>30251680</v>
      </c>
      <c r="AL2" s="17" t="str">
        <f>IF(AK2=B2,"YES", "NO")</f>
        <v>NO</v>
      </c>
      <c r="AM2" s="17">
        <v>0</v>
      </c>
      <c r="AN2" s="17">
        <v>0</v>
      </c>
      <c r="AO2" s="16">
        <v>1</v>
      </c>
      <c r="AP2" s="16">
        <v>0</v>
      </c>
      <c r="AQ2" s="16">
        <v>1</v>
      </c>
      <c r="AR2" s="18">
        <v>0</v>
      </c>
      <c r="AS2" s="18">
        <v>0</v>
      </c>
      <c r="AT2" s="16">
        <v>1</v>
      </c>
      <c r="AU2" s="16">
        <v>1</v>
      </c>
      <c r="AV2" s="16">
        <v>1</v>
      </c>
      <c r="AW2" s="16">
        <v>0</v>
      </c>
      <c r="AX2" s="16">
        <v>1</v>
      </c>
      <c r="AY2" s="16">
        <v>1</v>
      </c>
      <c r="AZ2" s="16">
        <v>1</v>
      </c>
      <c r="BA2" s="16">
        <v>1</v>
      </c>
      <c r="BB2" s="16">
        <v>1</v>
      </c>
      <c r="BC2" s="16">
        <v>1</v>
      </c>
      <c r="BD2" s="16">
        <v>0</v>
      </c>
      <c r="BE2" s="16">
        <v>0</v>
      </c>
      <c r="BF2" s="16">
        <v>0</v>
      </c>
      <c r="BG2" s="18">
        <v>0</v>
      </c>
      <c r="BH2" s="18">
        <v>0</v>
      </c>
      <c r="BI2" s="18">
        <v>0</v>
      </c>
      <c r="BJ2" s="18">
        <v>0</v>
      </c>
      <c r="BK2" s="18">
        <v>0</v>
      </c>
      <c r="BL2" s="18">
        <v>0</v>
      </c>
      <c r="BM2" s="18">
        <v>0</v>
      </c>
      <c r="BN2" s="18">
        <v>0</v>
      </c>
      <c r="BO2" s="18">
        <v>0</v>
      </c>
      <c r="BP2" s="18">
        <v>0</v>
      </c>
      <c r="BQ2" s="18">
        <v>0</v>
      </c>
      <c r="BR2" s="18">
        <v>0</v>
      </c>
      <c r="BS2" s="18">
        <v>0</v>
      </c>
      <c r="BT2" s="18">
        <v>0</v>
      </c>
      <c r="BU2" s="16">
        <v>1</v>
      </c>
      <c r="BV2" s="16">
        <v>0</v>
      </c>
      <c r="BW2" s="18">
        <v>0</v>
      </c>
      <c r="BX2" s="16">
        <v>1</v>
      </c>
      <c r="BY2" s="16">
        <v>0</v>
      </c>
      <c r="BZ2" s="16">
        <v>0</v>
      </c>
      <c r="CA2" s="16">
        <v>0</v>
      </c>
      <c r="CB2" s="16">
        <v>1</v>
      </c>
      <c r="CC2" s="16">
        <v>1</v>
      </c>
      <c r="CD2" s="16">
        <v>1</v>
      </c>
      <c r="CE2" s="16">
        <v>0</v>
      </c>
      <c r="CF2" s="18">
        <v>0</v>
      </c>
      <c r="CG2" s="18">
        <v>0</v>
      </c>
      <c r="CH2" s="16">
        <v>1</v>
      </c>
      <c r="CI2" s="16">
        <v>1</v>
      </c>
      <c r="CJ2" s="16">
        <v>0</v>
      </c>
      <c r="CK2" s="18">
        <v>0</v>
      </c>
      <c r="CL2" s="18">
        <v>1</v>
      </c>
      <c r="CM2" s="19" t="s">
        <v>154</v>
      </c>
      <c r="CN2" s="20">
        <v>43891</v>
      </c>
      <c r="CO2" s="21">
        <v>45322</v>
      </c>
      <c r="CP2" s="22">
        <f>_xlfn.DAYS(CO2,CN2)</f>
        <v>1431</v>
      </c>
      <c r="CQ2" s="22">
        <f t="shared" ref="CQ2:CQ33" si="0">_xlfn.DAYS(CO2,CR2)</f>
        <v>110</v>
      </c>
      <c r="CR2" s="23">
        <v>45212</v>
      </c>
      <c r="CS2" s="24" t="s">
        <v>155</v>
      </c>
      <c r="CT2" s="22">
        <v>1</v>
      </c>
      <c r="CU2" s="18">
        <v>1</v>
      </c>
      <c r="CV2" s="18">
        <v>1</v>
      </c>
      <c r="CW2" s="18" t="s">
        <v>156</v>
      </c>
      <c r="CX2" s="25">
        <v>0</v>
      </c>
      <c r="CY2" s="25">
        <v>0</v>
      </c>
      <c r="CZ2" s="25">
        <v>0</v>
      </c>
      <c r="DA2" s="25">
        <v>0</v>
      </c>
      <c r="DB2" s="25">
        <v>0</v>
      </c>
      <c r="DC2" s="25">
        <v>0</v>
      </c>
      <c r="DD2" s="17">
        <v>0</v>
      </c>
      <c r="DE2" s="16" t="s">
        <v>157</v>
      </c>
      <c r="DF2" s="17">
        <v>1</v>
      </c>
      <c r="DG2" s="17">
        <v>0</v>
      </c>
      <c r="DH2" s="17">
        <v>0</v>
      </c>
      <c r="DI2" s="17">
        <v>1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1</v>
      </c>
      <c r="DP2" s="17">
        <v>0</v>
      </c>
      <c r="DQ2" s="17">
        <v>0</v>
      </c>
      <c r="DZ2" s="17">
        <v>4</v>
      </c>
      <c r="EA2" s="17">
        <v>11</v>
      </c>
      <c r="EB2" s="65" t="str">
        <f>IF(EC2=A2,"YES!","-")</f>
        <v>YES!</v>
      </c>
      <c r="EC2" s="108">
        <v>3633</v>
      </c>
      <c r="ED2" s="112" t="s">
        <v>158</v>
      </c>
      <c r="EE2" s="99">
        <v>61.25</v>
      </c>
      <c r="EF2" s="100">
        <v>84.5</v>
      </c>
      <c r="EG2" s="100">
        <v>59</v>
      </c>
      <c r="EH2" s="100">
        <v>11.75</v>
      </c>
      <c r="EI2" s="100">
        <v>25.5</v>
      </c>
      <c r="EJ2" s="100">
        <v>1</v>
      </c>
      <c r="EK2" s="100">
        <v>7.25</v>
      </c>
      <c r="EL2" s="100">
        <v>39.25</v>
      </c>
      <c r="EM2" s="100">
        <v>0.75</v>
      </c>
      <c r="EN2" s="101">
        <v>-8.5</v>
      </c>
      <c r="EO2" s="102">
        <v>197923</v>
      </c>
      <c r="EP2" s="100">
        <v>181317</v>
      </c>
      <c r="EQ2" s="100">
        <v>187498.5</v>
      </c>
      <c r="ER2" s="100">
        <v>27079.25</v>
      </c>
      <c r="ES2" s="100">
        <v>295</v>
      </c>
      <c r="ET2" s="100">
        <v>252.75</v>
      </c>
      <c r="EU2" s="100">
        <v>74592.5</v>
      </c>
      <c r="EV2" s="100">
        <v>2029</v>
      </c>
      <c r="EW2" s="100">
        <v>213.5</v>
      </c>
      <c r="EX2" s="103">
        <v>57061.75</v>
      </c>
    </row>
    <row r="3" spans="1:154" s="28" customFormat="1" ht="43.2" x14ac:dyDescent="0.3">
      <c r="A3" s="26">
        <v>7191</v>
      </c>
      <c r="B3" s="30"/>
      <c r="C3" s="66" t="s">
        <v>149</v>
      </c>
      <c r="D3" s="30">
        <v>50</v>
      </c>
      <c r="E3" s="30">
        <v>0</v>
      </c>
      <c r="F3" s="30">
        <v>0</v>
      </c>
      <c r="G3" s="46" t="s">
        <v>150</v>
      </c>
      <c r="H3" s="40" t="s">
        <v>151</v>
      </c>
      <c r="I3" s="30">
        <v>1.64</v>
      </c>
      <c r="J3" s="30">
        <v>93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1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68" t="s">
        <v>159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7" t="s">
        <v>160</v>
      </c>
      <c r="AK3" s="27">
        <v>8980917</v>
      </c>
      <c r="AL3" s="28" t="str">
        <f t="shared" ref="AL3:AL61" si="1">IF(AK3=B3,"YES", "NO")</f>
        <v>NO</v>
      </c>
      <c r="AM3" s="28">
        <v>0</v>
      </c>
      <c r="AN3" s="28">
        <v>0</v>
      </c>
      <c r="AO3" s="27">
        <v>0</v>
      </c>
      <c r="AP3" s="27">
        <v>0</v>
      </c>
      <c r="AQ3" s="27">
        <v>1</v>
      </c>
      <c r="AR3" s="29">
        <v>1</v>
      </c>
      <c r="AS3" s="29">
        <v>0</v>
      </c>
      <c r="AT3" s="27">
        <v>0</v>
      </c>
      <c r="AU3" s="27">
        <v>0</v>
      </c>
      <c r="AV3" s="27">
        <v>0</v>
      </c>
      <c r="AW3" s="27">
        <v>0</v>
      </c>
      <c r="AX3" s="27">
        <v>1</v>
      </c>
      <c r="AY3" s="27">
        <v>0</v>
      </c>
      <c r="AZ3" s="27">
        <v>1</v>
      </c>
      <c r="BA3" s="27">
        <v>1</v>
      </c>
      <c r="BB3" s="27">
        <v>0</v>
      </c>
      <c r="BC3" s="27">
        <v>0</v>
      </c>
      <c r="BD3" s="27">
        <v>0</v>
      </c>
      <c r="BE3" s="27">
        <v>0</v>
      </c>
      <c r="BF3" s="27">
        <v>0</v>
      </c>
      <c r="BG3" s="29">
        <v>1</v>
      </c>
      <c r="BH3" s="29">
        <v>0</v>
      </c>
      <c r="BI3" s="29">
        <v>0</v>
      </c>
      <c r="BJ3" s="29">
        <v>0</v>
      </c>
      <c r="BK3" s="29">
        <v>0</v>
      </c>
      <c r="BL3" s="29">
        <v>0</v>
      </c>
      <c r="BM3" s="29">
        <v>1</v>
      </c>
      <c r="BN3" s="29">
        <v>0</v>
      </c>
      <c r="BO3" s="29">
        <v>0</v>
      </c>
      <c r="BP3" s="29">
        <v>1</v>
      </c>
      <c r="BQ3" s="29">
        <v>0</v>
      </c>
      <c r="BR3" s="29">
        <v>1</v>
      </c>
      <c r="BS3" s="29">
        <v>0</v>
      </c>
      <c r="BT3" s="29">
        <v>0</v>
      </c>
      <c r="BU3" s="27">
        <v>0</v>
      </c>
      <c r="BV3" s="27">
        <v>0</v>
      </c>
      <c r="BW3" s="29">
        <v>0</v>
      </c>
      <c r="BX3" s="27">
        <v>1</v>
      </c>
      <c r="BY3" s="27">
        <v>1</v>
      </c>
      <c r="BZ3" s="27">
        <v>0</v>
      </c>
      <c r="CA3" s="27">
        <v>0</v>
      </c>
      <c r="CB3" s="27">
        <v>0</v>
      </c>
      <c r="CC3" s="27">
        <v>0</v>
      </c>
      <c r="CD3" s="27">
        <v>0</v>
      </c>
      <c r="CE3" s="27">
        <v>0</v>
      </c>
      <c r="CF3" s="29">
        <v>0</v>
      </c>
      <c r="CG3" s="29">
        <v>0</v>
      </c>
      <c r="CH3" s="27">
        <v>1</v>
      </c>
      <c r="CI3" s="27">
        <v>1</v>
      </c>
      <c r="CJ3" s="27">
        <v>0</v>
      </c>
      <c r="CK3" s="29">
        <v>0</v>
      </c>
      <c r="CL3" s="29">
        <v>0</v>
      </c>
      <c r="CM3" s="30" t="s">
        <v>161</v>
      </c>
      <c r="CN3" s="31">
        <v>44922</v>
      </c>
      <c r="CO3" s="32">
        <v>45341</v>
      </c>
      <c r="CP3" s="33">
        <f t="shared" ref="CP3:CP8" si="2">_xlfn.DAYS(CO3,CN3)</f>
        <v>419</v>
      </c>
      <c r="CQ3" s="33">
        <f t="shared" si="0"/>
        <v>826</v>
      </c>
      <c r="CR3" s="34">
        <v>44515</v>
      </c>
      <c r="CS3" s="29" t="s">
        <v>162</v>
      </c>
      <c r="CT3" s="85">
        <v>2</v>
      </c>
      <c r="CU3" s="29">
        <v>0</v>
      </c>
      <c r="CV3" s="29">
        <v>0</v>
      </c>
      <c r="CW3" s="35"/>
      <c r="CX3" s="35">
        <v>0</v>
      </c>
      <c r="CY3" s="35">
        <v>0</v>
      </c>
      <c r="CZ3" s="35">
        <v>0</v>
      </c>
      <c r="DA3" s="35">
        <v>0</v>
      </c>
      <c r="DB3" s="35">
        <v>0</v>
      </c>
      <c r="DC3" s="35">
        <v>0</v>
      </c>
      <c r="DD3" s="28">
        <v>0</v>
      </c>
      <c r="DE3" s="27" t="s">
        <v>163</v>
      </c>
      <c r="DF3" s="28">
        <v>1</v>
      </c>
      <c r="DG3" s="28">
        <v>0</v>
      </c>
      <c r="DH3" s="28">
        <v>0</v>
      </c>
      <c r="DI3" s="28">
        <v>1</v>
      </c>
      <c r="DJ3" s="28">
        <v>0</v>
      </c>
      <c r="DK3" s="28">
        <v>0</v>
      </c>
      <c r="DL3" s="28">
        <v>0</v>
      </c>
      <c r="DM3" s="28">
        <v>0</v>
      </c>
      <c r="DN3" s="28">
        <v>0</v>
      </c>
      <c r="DO3" s="28">
        <v>0</v>
      </c>
      <c r="DP3" s="28">
        <v>0</v>
      </c>
      <c r="DQ3" s="28">
        <v>0</v>
      </c>
      <c r="DZ3" s="28">
        <v>3</v>
      </c>
      <c r="EA3" s="28">
        <v>3</v>
      </c>
      <c r="EB3" s="65" t="str">
        <f t="shared" ref="EB3:EB61" si="3">IF(EC3=A3,"YES!","-")</f>
        <v>YES!</v>
      </c>
      <c r="EC3" s="108">
        <v>7191</v>
      </c>
      <c r="ED3" s="112" t="s">
        <v>164</v>
      </c>
      <c r="EE3" s="99">
        <v>186</v>
      </c>
      <c r="EF3" s="100">
        <v>118.5</v>
      </c>
      <c r="EG3" s="100">
        <v>193.25</v>
      </c>
      <c r="EH3" s="100">
        <v>27</v>
      </c>
      <c r="EI3" s="100">
        <v>127.5</v>
      </c>
      <c r="EJ3" s="100">
        <v>48.75</v>
      </c>
      <c r="EK3" s="100">
        <v>112.5</v>
      </c>
      <c r="EL3" s="100">
        <v>81.5</v>
      </c>
      <c r="EM3" s="100">
        <v>37</v>
      </c>
      <c r="EN3" s="101">
        <v>92.5</v>
      </c>
      <c r="EO3" s="102">
        <v>137940.75</v>
      </c>
      <c r="EP3" s="100">
        <v>112925</v>
      </c>
      <c r="EQ3" s="100">
        <v>154675</v>
      </c>
      <c r="ER3" s="100">
        <v>43216.5</v>
      </c>
      <c r="ES3" s="100">
        <v>80568.75</v>
      </c>
      <c r="ET3" s="100">
        <v>32537.5</v>
      </c>
      <c r="EU3" s="100">
        <v>6770.5</v>
      </c>
      <c r="EV3" s="100">
        <v>46710</v>
      </c>
      <c r="EW3" s="100">
        <v>19973.75</v>
      </c>
      <c r="EX3" s="103">
        <v>90179.75</v>
      </c>
    </row>
    <row r="4" spans="1:154" s="38" customFormat="1" ht="55.2" x14ac:dyDescent="0.3">
      <c r="A4" s="36">
        <v>7283</v>
      </c>
      <c r="B4" s="40"/>
      <c r="C4" s="66" t="s">
        <v>165</v>
      </c>
      <c r="D4" s="40">
        <v>65</v>
      </c>
      <c r="E4" s="40">
        <v>0</v>
      </c>
      <c r="F4" s="40">
        <v>0</v>
      </c>
      <c r="G4" s="46" t="s">
        <v>150</v>
      </c>
      <c r="H4" s="40" t="s">
        <v>166</v>
      </c>
      <c r="I4" s="40">
        <v>1.72</v>
      </c>
      <c r="J4" s="40">
        <v>75.599999999999994</v>
      </c>
      <c r="K4" s="38">
        <v>1</v>
      </c>
      <c r="L4" s="38">
        <v>0</v>
      </c>
      <c r="M4" s="38">
        <v>0</v>
      </c>
      <c r="N4" s="38">
        <v>0</v>
      </c>
      <c r="O4" s="38">
        <v>1</v>
      </c>
      <c r="P4" s="38">
        <v>0</v>
      </c>
      <c r="Q4" s="38">
        <v>1</v>
      </c>
      <c r="R4" s="38">
        <v>0</v>
      </c>
      <c r="S4" s="38">
        <v>0</v>
      </c>
      <c r="T4" s="38">
        <v>0</v>
      </c>
      <c r="U4" s="38">
        <v>1</v>
      </c>
      <c r="V4" s="38">
        <v>0</v>
      </c>
      <c r="W4" s="38">
        <v>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69" t="s">
        <v>167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7" t="s">
        <v>168</v>
      </c>
      <c r="AK4" s="37">
        <v>10878921</v>
      </c>
      <c r="AL4" s="38" t="str">
        <f t="shared" si="1"/>
        <v>NO</v>
      </c>
      <c r="AM4" s="38">
        <v>0</v>
      </c>
      <c r="AN4" s="38">
        <v>0</v>
      </c>
      <c r="AO4" s="37">
        <v>1</v>
      </c>
      <c r="AP4" s="37">
        <v>0</v>
      </c>
      <c r="AQ4" s="37">
        <v>1</v>
      </c>
      <c r="AR4" s="39">
        <v>1</v>
      </c>
      <c r="AS4" s="39">
        <v>1</v>
      </c>
      <c r="AT4" s="37">
        <v>1</v>
      </c>
      <c r="AU4" s="37">
        <v>1</v>
      </c>
      <c r="AV4" s="37">
        <v>1</v>
      </c>
      <c r="AW4" s="37">
        <v>0</v>
      </c>
      <c r="AX4" s="37">
        <v>0</v>
      </c>
      <c r="AY4" s="37">
        <v>1</v>
      </c>
      <c r="AZ4" s="37">
        <v>1</v>
      </c>
      <c r="BA4" s="37">
        <v>1</v>
      </c>
      <c r="BB4" s="37">
        <v>1</v>
      </c>
      <c r="BC4" s="37">
        <v>1</v>
      </c>
      <c r="BD4" s="37">
        <v>0</v>
      </c>
      <c r="BE4" s="37">
        <v>1</v>
      </c>
      <c r="BF4" s="37">
        <v>0</v>
      </c>
      <c r="BG4" s="39">
        <v>0</v>
      </c>
      <c r="BH4" s="39">
        <v>0</v>
      </c>
      <c r="BI4" s="29">
        <v>0</v>
      </c>
      <c r="BJ4" s="39">
        <v>0</v>
      </c>
      <c r="BK4" s="39">
        <v>0</v>
      </c>
      <c r="BL4" s="39">
        <v>0</v>
      </c>
      <c r="BM4" s="39">
        <v>0</v>
      </c>
      <c r="BN4" s="39">
        <v>0</v>
      </c>
      <c r="BO4" s="39">
        <v>0</v>
      </c>
      <c r="BP4" s="39">
        <v>0</v>
      </c>
      <c r="BQ4" s="39">
        <v>0</v>
      </c>
      <c r="BR4" s="39">
        <v>1</v>
      </c>
      <c r="BS4" s="39">
        <v>0</v>
      </c>
      <c r="BT4" s="39">
        <v>0</v>
      </c>
      <c r="BU4" s="37">
        <v>1</v>
      </c>
      <c r="BV4" s="37">
        <v>0</v>
      </c>
      <c r="BW4" s="39">
        <v>0</v>
      </c>
      <c r="BX4" s="37">
        <v>1</v>
      </c>
      <c r="BY4" s="37">
        <v>0</v>
      </c>
      <c r="BZ4" s="37">
        <v>0</v>
      </c>
      <c r="CA4" s="37">
        <v>0</v>
      </c>
      <c r="CB4" s="37">
        <v>1</v>
      </c>
      <c r="CC4" s="37">
        <v>0</v>
      </c>
      <c r="CD4" s="37">
        <v>0</v>
      </c>
      <c r="CE4" s="37">
        <v>0</v>
      </c>
      <c r="CF4" s="39">
        <v>0</v>
      </c>
      <c r="CG4" s="39">
        <v>0</v>
      </c>
      <c r="CH4" s="37">
        <v>0</v>
      </c>
      <c r="CI4" s="37">
        <v>1</v>
      </c>
      <c r="CJ4" s="37">
        <v>0</v>
      </c>
      <c r="CK4" s="39">
        <v>0</v>
      </c>
      <c r="CL4" s="39">
        <v>0</v>
      </c>
      <c r="CM4" s="40" t="s">
        <v>169</v>
      </c>
      <c r="CN4" s="41">
        <v>44925</v>
      </c>
      <c r="CO4" s="42">
        <v>45322</v>
      </c>
      <c r="CP4" s="43">
        <f t="shared" si="2"/>
        <v>397</v>
      </c>
      <c r="CQ4" s="43">
        <f t="shared" si="0"/>
        <v>126</v>
      </c>
      <c r="CR4" s="44">
        <v>45196</v>
      </c>
      <c r="CS4" s="39" t="s">
        <v>170</v>
      </c>
      <c r="CT4" s="86">
        <v>1</v>
      </c>
      <c r="CU4" s="39">
        <v>0</v>
      </c>
      <c r="CV4" s="39">
        <v>0</v>
      </c>
      <c r="CW4" s="45"/>
      <c r="CX4" s="45">
        <v>0</v>
      </c>
      <c r="CY4" s="45">
        <v>0</v>
      </c>
      <c r="CZ4" s="45">
        <v>0</v>
      </c>
      <c r="DA4" s="45">
        <v>0</v>
      </c>
      <c r="DB4" s="45">
        <v>0</v>
      </c>
      <c r="DC4" s="45">
        <v>0</v>
      </c>
      <c r="DD4" s="38">
        <v>0</v>
      </c>
      <c r="DE4" s="83" t="s">
        <v>171</v>
      </c>
      <c r="DF4" s="38">
        <v>0</v>
      </c>
      <c r="DG4" s="38">
        <v>0</v>
      </c>
      <c r="DH4" s="38">
        <v>0</v>
      </c>
      <c r="DI4" s="38">
        <v>0</v>
      </c>
      <c r="DJ4" s="38">
        <v>0</v>
      </c>
      <c r="DK4" s="38">
        <v>0</v>
      </c>
      <c r="DL4" s="38">
        <v>0</v>
      </c>
      <c r="DM4" s="38">
        <v>0</v>
      </c>
      <c r="DN4" s="38">
        <v>0</v>
      </c>
      <c r="DO4" s="38">
        <v>0</v>
      </c>
      <c r="DP4" s="38">
        <v>0</v>
      </c>
      <c r="DQ4" s="38">
        <v>0</v>
      </c>
      <c r="DZ4" s="38">
        <v>7</v>
      </c>
      <c r="EA4" s="38">
        <v>15</v>
      </c>
      <c r="EB4" s="65" t="str">
        <f t="shared" si="3"/>
        <v>YES!</v>
      </c>
      <c r="EC4" s="108">
        <v>7283</v>
      </c>
      <c r="ED4" s="112" t="s">
        <v>172</v>
      </c>
      <c r="EE4" s="99">
        <v>593.5</v>
      </c>
      <c r="EF4" s="100">
        <v>426.25</v>
      </c>
      <c r="EG4" s="100">
        <v>376.25</v>
      </c>
      <c r="EH4" s="100">
        <v>-9.75</v>
      </c>
      <c r="EI4" s="100">
        <v>163</v>
      </c>
      <c r="EJ4" s="100">
        <v>132.5</v>
      </c>
      <c r="EK4" s="100">
        <v>66.75</v>
      </c>
      <c r="EL4" s="100">
        <v>21.5</v>
      </c>
      <c r="EM4" s="100">
        <v>14.5</v>
      </c>
      <c r="EN4" s="101">
        <v>-22.75</v>
      </c>
      <c r="EO4" s="102">
        <v>215546</v>
      </c>
      <c r="EP4" s="100">
        <v>211708</v>
      </c>
      <c r="EQ4" s="100">
        <v>227075.5</v>
      </c>
      <c r="ER4" s="100">
        <v>547.25</v>
      </c>
      <c r="ES4" s="100">
        <v>114837.75</v>
      </c>
      <c r="ET4" s="100">
        <v>54140</v>
      </c>
      <c r="EU4" s="100">
        <v>92600.75</v>
      </c>
      <c r="EV4" s="100">
        <v>12822.75</v>
      </c>
      <c r="EW4" s="100">
        <v>352.75</v>
      </c>
      <c r="EX4" s="103">
        <v>399.25</v>
      </c>
    </row>
    <row r="5" spans="1:154" s="38" customFormat="1" ht="43.2" x14ac:dyDescent="0.3">
      <c r="A5" s="36">
        <v>7385</v>
      </c>
      <c r="B5" s="40"/>
      <c r="C5" s="66" t="s">
        <v>165</v>
      </c>
      <c r="D5" s="40">
        <v>57</v>
      </c>
      <c r="E5" s="40">
        <v>0</v>
      </c>
      <c r="F5" s="40">
        <v>0</v>
      </c>
      <c r="G5" s="40" t="s">
        <v>150</v>
      </c>
      <c r="H5" s="40" t="s">
        <v>173</v>
      </c>
      <c r="I5" s="40">
        <v>1.7</v>
      </c>
      <c r="J5" s="40">
        <v>74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  <c r="R5" s="38">
        <v>0</v>
      </c>
      <c r="S5" s="38">
        <v>0</v>
      </c>
      <c r="T5" s="38">
        <v>0</v>
      </c>
      <c r="U5" s="38">
        <v>1</v>
      </c>
      <c r="V5" s="38">
        <v>0</v>
      </c>
      <c r="W5" s="38">
        <v>0</v>
      </c>
      <c r="X5" s="38">
        <v>0</v>
      </c>
      <c r="Y5" s="38">
        <v>0</v>
      </c>
      <c r="Z5" s="38">
        <v>0</v>
      </c>
      <c r="AA5" s="38">
        <v>0</v>
      </c>
      <c r="AB5" s="38">
        <v>0</v>
      </c>
      <c r="AC5" s="70"/>
      <c r="AD5" s="38">
        <v>0</v>
      </c>
      <c r="AE5" s="38">
        <v>0</v>
      </c>
      <c r="AF5" s="38">
        <v>0</v>
      </c>
      <c r="AG5" s="38">
        <v>0</v>
      </c>
      <c r="AH5" s="38">
        <v>0</v>
      </c>
      <c r="AI5" s="38">
        <v>0</v>
      </c>
      <c r="AJ5" s="37" t="s">
        <v>174</v>
      </c>
      <c r="AK5" s="37">
        <v>18892662</v>
      </c>
      <c r="AL5" s="38" t="str">
        <f t="shared" si="1"/>
        <v>NO</v>
      </c>
      <c r="AM5" s="38">
        <v>1</v>
      </c>
      <c r="AN5" s="38">
        <v>0</v>
      </c>
      <c r="AO5" s="37">
        <v>1</v>
      </c>
      <c r="AP5" s="37">
        <v>0</v>
      </c>
      <c r="AQ5" s="37">
        <v>1</v>
      </c>
      <c r="AR5" s="37">
        <v>1</v>
      </c>
      <c r="AS5" s="37">
        <v>0</v>
      </c>
      <c r="AT5" s="37">
        <v>0</v>
      </c>
      <c r="AU5" s="37">
        <v>0</v>
      </c>
      <c r="AV5" s="37">
        <v>1</v>
      </c>
      <c r="AW5" s="37">
        <v>0</v>
      </c>
      <c r="AX5" s="37">
        <v>1</v>
      </c>
      <c r="AY5" s="37">
        <v>1</v>
      </c>
      <c r="AZ5" s="37">
        <v>0</v>
      </c>
      <c r="BA5" s="37">
        <v>0</v>
      </c>
      <c r="BB5" s="37">
        <v>1</v>
      </c>
      <c r="BC5" s="37">
        <v>1</v>
      </c>
      <c r="BD5" s="37">
        <v>0</v>
      </c>
      <c r="BE5" s="37">
        <v>0</v>
      </c>
      <c r="BF5" s="37">
        <v>0</v>
      </c>
      <c r="BG5" s="37">
        <v>0</v>
      </c>
      <c r="BH5" s="37">
        <v>0</v>
      </c>
      <c r="BI5" s="29">
        <v>1</v>
      </c>
      <c r="BJ5" s="37">
        <v>0</v>
      </c>
      <c r="BK5" s="37">
        <v>0</v>
      </c>
      <c r="BL5" s="37">
        <v>0</v>
      </c>
      <c r="BM5" s="37">
        <v>0</v>
      </c>
      <c r="BN5" s="37">
        <v>0</v>
      </c>
      <c r="BO5" s="37">
        <v>0</v>
      </c>
      <c r="BP5" s="37">
        <v>0</v>
      </c>
      <c r="BQ5" s="37">
        <v>0</v>
      </c>
      <c r="BR5" s="37">
        <v>0</v>
      </c>
      <c r="BS5" s="37">
        <v>0</v>
      </c>
      <c r="BT5" s="37">
        <v>0</v>
      </c>
      <c r="BU5" s="37">
        <v>1</v>
      </c>
      <c r="BV5" s="37">
        <v>0</v>
      </c>
      <c r="BW5" s="37">
        <v>0</v>
      </c>
      <c r="BX5" s="37">
        <v>1</v>
      </c>
      <c r="BY5" s="37">
        <v>1</v>
      </c>
      <c r="BZ5" s="37">
        <v>0</v>
      </c>
      <c r="CA5" s="37">
        <v>0</v>
      </c>
      <c r="CB5" s="37">
        <v>1</v>
      </c>
      <c r="CC5" s="37">
        <v>0</v>
      </c>
      <c r="CD5" s="37">
        <v>0</v>
      </c>
      <c r="CE5" s="37">
        <v>0</v>
      </c>
      <c r="CF5" s="37">
        <v>1</v>
      </c>
      <c r="CG5" s="37">
        <v>1</v>
      </c>
      <c r="CH5" s="37">
        <v>0</v>
      </c>
      <c r="CI5" s="37">
        <v>0</v>
      </c>
      <c r="CJ5" s="37">
        <v>0</v>
      </c>
      <c r="CK5" s="37">
        <v>0</v>
      </c>
      <c r="CL5" s="37">
        <v>0</v>
      </c>
      <c r="CM5" s="46" t="s">
        <v>175</v>
      </c>
      <c r="CN5" s="47">
        <v>44706</v>
      </c>
      <c r="CO5" s="42">
        <v>45196</v>
      </c>
      <c r="CP5" s="43">
        <f t="shared" si="2"/>
        <v>490</v>
      </c>
      <c r="CQ5" s="43">
        <f t="shared" si="0"/>
        <v>587</v>
      </c>
      <c r="CR5" s="48">
        <v>44609</v>
      </c>
      <c r="CS5" s="37" t="s">
        <v>176</v>
      </c>
      <c r="CT5" s="87" t="s">
        <v>177</v>
      </c>
      <c r="CU5" s="37">
        <v>1</v>
      </c>
      <c r="CV5" s="37">
        <v>1</v>
      </c>
      <c r="CW5" s="37" t="s">
        <v>178</v>
      </c>
      <c r="CX5" s="37">
        <v>0</v>
      </c>
      <c r="CY5" s="37">
        <v>0</v>
      </c>
      <c r="CZ5" s="37">
        <v>0</v>
      </c>
      <c r="DA5" s="37">
        <v>0</v>
      </c>
      <c r="DB5" s="37">
        <v>0</v>
      </c>
      <c r="DC5" s="37">
        <v>0</v>
      </c>
      <c r="DD5" s="38">
        <v>0</v>
      </c>
      <c r="DE5" s="37"/>
      <c r="DF5" s="38">
        <v>1</v>
      </c>
      <c r="DG5" s="38">
        <v>0</v>
      </c>
      <c r="DH5" s="38">
        <v>0</v>
      </c>
      <c r="DI5" s="38">
        <v>0</v>
      </c>
      <c r="DJ5" s="38">
        <v>0</v>
      </c>
      <c r="DK5" s="38">
        <v>0</v>
      </c>
      <c r="DL5" s="38">
        <v>0</v>
      </c>
      <c r="DM5" s="38">
        <v>0</v>
      </c>
      <c r="DN5" s="38">
        <v>0</v>
      </c>
      <c r="DO5" s="38">
        <v>0</v>
      </c>
      <c r="DP5" s="38">
        <v>0</v>
      </c>
      <c r="DQ5" s="38">
        <v>1</v>
      </c>
      <c r="DZ5" s="38">
        <v>9</v>
      </c>
      <c r="EA5" s="38">
        <v>7</v>
      </c>
      <c r="EB5" s="65" t="str">
        <f t="shared" si="3"/>
        <v>YES!</v>
      </c>
      <c r="EC5" s="108">
        <v>7385</v>
      </c>
      <c r="ED5" s="112" t="s">
        <v>179</v>
      </c>
      <c r="EE5" s="99">
        <v>223.25</v>
      </c>
      <c r="EF5" s="100">
        <v>190.25</v>
      </c>
      <c r="EG5" s="100">
        <v>235</v>
      </c>
      <c r="EH5" s="100">
        <v>17</v>
      </c>
      <c r="EI5" s="100">
        <v>197.75</v>
      </c>
      <c r="EJ5" s="100">
        <v>87</v>
      </c>
      <c r="EK5" s="100">
        <v>130</v>
      </c>
      <c r="EL5" s="100">
        <v>493.5</v>
      </c>
      <c r="EM5" s="100">
        <v>156.5</v>
      </c>
      <c r="EN5" s="101">
        <v>51.25</v>
      </c>
      <c r="EO5" s="102">
        <v>182501</v>
      </c>
      <c r="EP5" s="100">
        <v>166949.25</v>
      </c>
      <c r="EQ5" s="100">
        <v>188780</v>
      </c>
      <c r="ER5" s="100">
        <v>3507.5</v>
      </c>
      <c r="ES5" s="100">
        <v>113108.5</v>
      </c>
      <c r="ET5" s="100">
        <v>61596.25</v>
      </c>
      <c r="EU5" s="100">
        <v>127289.5</v>
      </c>
      <c r="EV5" s="100">
        <v>186401.5</v>
      </c>
      <c r="EW5" s="100">
        <v>114430.25</v>
      </c>
      <c r="EX5" s="103">
        <v>83217.5</v>
      </c>
    </row>
    <row r="6" spans="1:154" s="38" customFormat="1" ht="55.2" x14ac:dyDescent="0.3">
      <c r="A6" s="36">
        <v>7415</v>
      </c>
      <c r="B6" s="40"/>
      <c r="C6" s="66" t="s">
        <v>149</v>
      </c>
      <c r="D6" s="40">
        <v>56</v>
      </c>
      <c r="E6" s="40">
        <v>0</v>
      </c>
      <c r="F6" s="40">
        <v>0</v>
      </c>
      <c r="G6" s="40" t="s">
        <v>150</v>
      </c>
      <c r="H6" s="40" t="s">
        <v>180</v>
      </c>
      <c r="I6" s="40">
        <v>1.6</v>
      </c>
      <c r="J6" s="40">
        <v>73.7</v>
      </c>
      <c r="K6" s="38">
        <v>0</v>
      </c>
      <c r="L6" s="38">
        <v>0</v>
      </c>
      <c r="M6" s="38">
        <v>0</v>
      </c>
      <c r="N6" s="38">
        <v>0</v>
      </c>
      <c r="O6" s="38">
        <v>1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1</v>
      </c>
      <c r="V6" s="38">
        <v>0</v>
      </c>
      <c r="W6" s="38">
        <v>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71" t="s">
        <v>181</v>
      </c>
      <c r="AD6" s="38">
        <v>0</v>
      </c>
      <c r="AE6" s="38">
        <v>0</v>
      </c>
      <c r="AF6" s="38">
        <v>0</v>
      </c>
      <c r="AG6" s="38">
        <v>0</v>
      </c>
      <c r="AH6" s="38">
        <v>0</v>
      </c>
      <c r="AI6" s="38">
        <v>0</v>
      </c>
      <c r="AJ6" s="37" t="s">
        <v>182</v>
      </c>
      <c r="AK6" s="37">
        <v>18985821</v>
      </c>
      <c r="AL6" s="38" t="str">
        <f t="shared" si="1"/>
        <v>NO</v>
      </c>
      <c r="AM6" s="38">
        <v>0</v>
      </c>
      <c r="AN6" s="38">
        <v>0</v>
      </c>
      <c r="AO6" s="37">
        <v>1</v>
      </c>
      <c r="AP6" s="37">
        <v>0</v>
      </c>
      <c r="AQ6" s="37">
        <v>1</v>
      </c>
      <c r="AR6" s="37">
        <v>0</v>
      </c>
      <c r="AS6" s="37">
        <v>0</v>
      </c>
      <c r="AT6" s="37">
        <v>1</v>
      </c>
      <c r="AU6" s="37">
        <v>1</v>
      </c>
      <c r="AV6" s="37">
        <v>1</v>
      </c>
      <c r="AW6" s="37">
        <v>0</v>
      </c>
      <c r="AX6" s="37">
        <v>1</v>
      </c>
      <c r="AY6" s="37">
        <v>1</v>
      </c>
      <c r="AZ6" s="37">
        <v>0</v>
      </c>
      <c r="BA6" s="37">
        <v>1</v>
      </c>
      <c r="BB6" s="37">
        <v>1</v>
      </c>
      <c r="BC6" s="37">
        <v>1</v>
      </c>
      <c r="BD6" s="37">
        <v>0</v>
      </c>
      <c r="BE6" s="37">
        <v>0</v>
      </c>
      <c r="BF6" s="37">
        <v>1</v>
      </c>
      <c r="BG6" s="37">
        <v>0</v>
      </c>
      <c r="BH6" s="37">
        <v>0</v>
      </c>
      <c r="BI6" s="29">
        <v>1</v>
      </c>
      <c r="BJ6" s="37">
        <v>0</v>
      </c>
      <c r="BK6" s="37">
        <v>0</v>
      </c>
      <c r="BL6" s="37">
        <v>0</v>
      </c>
      <c r="BM6" s="37">
        <v>0</v>
      </c>
      <c r="BN6" s="37">
        <v>0</v>
      </c>
      <c r="BO6" s="37">
        <v>0</v>
      </c>
      <c r="BP6" s="37">
        <v>1</v>
      </c>
      <c r="BQ6" s="37">
        <v>0</v>
      </c>
      <c r="BR6" s="37">
        <v>0</v>
      </c>
      <c r="BS6" s="37">
        <v>0</v>
      </c>
      <c r="BT6" s="37">
        <v>0</v>
      </c>
      <c r="BU6" s="37">
        <v>0</v>
      </c>
      <c r="BV6" s="37">
        <v>0</v>
      </c>
      <c r="BW6" s="37">
        <v>0</v>
      </c>
      <c r="BX6" s="37">
        <v>1</v>
      </c>
      <c r="BY6" s="37">
        <v>0</v>
      </c>
      <c r="BZ6" s="37">
        <v>0</v>
      </c>
      <c r="CA6" s="37">
        <v>0</v>
      </c>
      <c r="CB6" s="37">
        <v>1</v>
      </c>
      <c r="CC6" s="37">
        <v>0</v>
      </c>
      <c r="CD6" s="37">
        <v>0</v>
      </c>
      <c r="CE6" s="37">
        <v>0</v>
      </c>
      <c r="CF6" s="37">
        <v>0</v>
      </c>
      <c r="CG6" s="37">
        <v>0</v>
      </c>
      <c r="CH6" s="37">
        <v>1</v>
      </c>
      <c r="CI6" s="37">
        <v>1</v>
      </c>
      <c r="CJ6" s="37">
        <v>0</v>
      </c>
      <c r="CK6" s="37">
        <v>0</v>
      </c>
      <c r="CL6" s="37">
        <v>0</v>
      </c>
      <c r="CM6" s="40" t="s">
        <v>183</v>
      </c>
      <c r="CN6" s="41">
        <v>44215</v>
      </c>
      <c r="CO6" s="42">
        <v>45322</v>
      </c>
      <c r="CP6" s="43">
        <f t="shared" si="2"/>
        <v>1107</v>
      </c>
      <c r="CQ6" s="43" t="e">
        <f t="shared" si="0"/>
        <v>#VALUE!</v>
      </c>
      <c r="CR6" s="37" t="s">
        <v>184</v>
      </c>
      <c r="CS6" s="37" t="s">
        <v>184</v>
      </c>
      <c r="CT6" s="87" t="s">
        <v>184</v>
      </c>
      <c r="CU6" s="37">
        <v>0</v>
      </c>
      <c r="CV6" s="37">
        <v>0</v>
      </c>
      <c r="CW6" s="37"/>
      <c r="CX6" s="37">
        <v>0</v>
      </c>
      <c r="CY6" s="37">
        <v>0</v>
      </c>
      <c r="CZ6" s="37">
        <v>0</v>
      </c>
      <c r="DA6" s="37">
        <v>0</v>
      </c>
      <c r="DB6" s="37">
        <v>0</v>
      </c>
      <c r="DC6" s="37">
        <v>0</v>
      </c>
      <c r="DD6" s="38">
        <v>0</v>
      </c>
      <c r="DE6" s="37"/>
      <c r="DF6" s="38">
        <v>0</v>
      </c>
      <c r="DG6" s="38">
        <v>0</v>
      </c>
      <c r="DH6" s="38">
        <v>0</v>
      </c>
      <c r="DI6" s="38">
        <v>1</v>
      </c>
      <c r="DJ6" s="38">
        <v>1</v>
      </c>
      <c r="DK6" s="38">
        <v>0</v>
      </c>
      <c r="DL6" s="38">
        <v>0</v>
      </c>
      <c r="DM6" s="38">
        <v>0</v>
      </c>
      <c r="DN6" s="38">
        <v>0</v>
      </c>
      <c r="DO6" s="38">
        <v>0</v>
      </c>
      <c r="DP6" s="38">
        <v>0</v>
      </c>
      <c r="DQ6" s="38">
        <v>0</v>
      </c>
      <c r="DZ6" s="38">
        <v>2</v>
      </c>
      <c r="EA6" s="38">
        <v>4</v>
      </c>
      <c r="EB6" s="65" t="str">
        <f t="shared" si="3"/>
        <v>YES!</v>
      </c>
      <c r="EC6" s="108">
        <v>7415</v>
      </c>
      <c r="ED6" s="112" t="s">
        <v>185</v>
      </c>
      <c r="EE6" s="99">
        <v>1113</v>
      </c>
      <c r="EF6" s="100">
        <v>685.25</v>
      </c>
      <c r="EG6" s="100">
        <v>665.75</v>
      </c>
      <c r="EH6" s="100">
        <v>22.75</v>
      </c>
      <c r="EI6" s="100">
        <v>17.5</v>
      </c>
      <c r="EJ6" s="100">
        <v>7</v>
      </c>
      <c r="EK6" s="100">
        <v>20</v>
      </c>
      <c r="EL6" s="100">
        <v>90.75</v>
      </c>
      <c r="EM6" s="100">
        <v>105.5</v>
      </c>
      <c r="EN6" s="101">
        <v>11</v>
      </c>
      <c r="EO6" s="102">
        <v>180698</v>
      </c>
      <c r="EP6" s="100">
        <v>199563</v>
      </c>
      <c r="EQ6" s="100">
        <v>229105.25</v>
      </c>
      <c r="ER6" s="100">
        <v>1575</v>
      </c>
      <c r="ES6" s="100">
        <v>476.5</v>
      </c>
      <c r="ET6" s="100">
        <v>367.5</v>
      </c>
      <c r="EU6" s="100">
        <v>25938</v>
      </c>
      <c r="EV6" s="100">
        <v>32915</v>
      </c>
      <c r="EW6" s="100">
        <v>45131.25</v>
      </c>
      <c r="EX6" s="103">
        <v>209.75</v>
      </c>
    </row>
    <row r="7" spans="1:154" s="38" customFormat="1" ht="43.2" x14ac:dyDescent="0.3">
      <c r="A7" s="36">
        <v>7423</v>
      </c>
      <c r="B7" s="40"/>
      <c r="C7" s="66" t="s">
        <v>149</v>
      </c>
      <c r="D7" s="40">
        <v>48</v>
      </c>
      <c r="E7" s="40">
        <v>0</v>
      </c>
      <c r="F7" s="40">
        <v>0</v>
      </c>
      <c r="G7" s="40" t="s">
        <v>150</v>
      </c>
      <c r="H7" s="40" t="s">
        <v>180</v>
      </c>
      <c r="I7" s="40">
        <v>1.5</v>
      </c>
      <c r="J7" s="40">
        <v>80.5</v>
      </c>
      <c r="K7" s="38">
        <v>0</v>
      </c>
      <c r="L7" s="38">
        <v>0</v>
      </c>
      <c r="M7" s="38">
        <v>0</v>
      </c>
      <c r="N7" s="38">
        <v>0</v>
      </c>
      <c r="O7" s="38">
        <v>1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1</v>
      </c>
      <c r="V7" s="38">
        <v>0</v>
      </c>
      <c r="W7" s="38">
        <v>0</v>
      </c>
      <c r="X7" s="38">
        <v>0</v>
      </c>
      <c r="Y7" s="38">
        <v>1</v>
      </c>
      <c r="Z7" s="38">
        <v>0</v>
      </c>
      <c r="AA7" s="38">
        <v>0</v>
      </c>
      <c r="AB7" s="38">
        <v>0</v>
      </c>
      <c r="AC7" s="72" t="s">
        <v>186</v>
      </c>
      <c r="AD7" s="38">
        <v>0</v>
      </c>
      <c r="AE7" s="38">
        <v>0</v>
      </c>
      <c r="AF7" s="38">
        <v>0</v>
      </c>
      <c r="AG7" s="38">
        <v>0</v>
      </c>
      <c r="AH7" s="38">
        <v>0</v>
      </c>
      <c r="AI7" s="38">
        <v>0</v>
      </c>
      <c r="AJ7" s="37" t="s">
        <v>187</v>
      </c>
      <c r="AK7" s="37">
        <v>18586863</v>
      </c>
      <c r="AL7" s="38" t="str">
        <f t="shared" si="1"/>
        <v>NO</v>
      </c>
      <c r="AM7" s="38">
        <v>0</v>
      </c>
      <c r="AN7" s="38">
        <v>0</v>
      </c>
      <c r="AO7" s="37">
        <v>1</v>
      </c>
      <c r="AP7" s="37">
        <v>0</v>
      </c>
      <c r="AQ7" s="37">
        <v>1</v>
      </c>
      <c r="AR7" s="37">
        <v>0</v>
      </c>
      <c r="AS7" s="37">
        <v>0</v>
      </c>
      <c r="AT7" s="37">
        <v>1</v>
      </c>
      <c r="AU7" s="37">
        <v>1</v>
      </c>
      <c r="AV7" s="37">
        <v>1</v>
      </c>
      <c r="AW7" s="37">
        <v>0</v>
      </c>
      <c r="AX7" s="37">
        <v>1</v>
      </c>
      <c r="AY7" s="37">
        <v>1</v>
      </c>
      <c r="AZ7" s="37">
        <v>1</v>
      </c>
      <c r="BA7" s="37">
        <v>0</v>
      </c>
      <c r="BB7" s="37">
        <v>1</v>
      </c>
      <c r="BC7" s="37">
        <v>0</v>
      </c>
      <c r="BD7" s="37">
        <v>0</v>
      </c>
      <c r="BE7" s="37">
        <v>0</v>
      </c>
      <c r="BF7" s="37">
        <v>1</v>
      </c>
      <c r="BG7" s="37">
        <v>1</v>
      </c>
      <c r="BH7" s="37">
        <v>0</v>
      </c>
      <c r="BI7" s="29">
        <v>0</v>
      </c>
      <c r="BJ7" s="37">
        <v>0</v>
      </c>
      <c r="BK7" s="37">
        <v>0</v>
      </c>
      <c r="BL7" s="37">
        <v>0</v>
      </c>
      <c r="BM7" s="37">
        <v>1</v>
      </c>
      <c r="BN7" s="37">
        <v>1</v>
      </c>
      <c r="BO7" s="37">
        <v>0</v>
      </c>
      <c r="BP7" s="37">
        <v>0</v>
      </c>
      <c r="BQ7" s="37">
        <v>0</v>
      </c>
      <c r="BR7" s="37">
        <v>1</v>
      </c>
      <c r="BS7" s="37">
        <v>0</v>
      </c>
      <c r="BT7" s="37">
        <v>0</v>
      </c>
      <c r="BU7" s="37">
        <v>0</v>
      </c>
      <c r="BV7" s="37">
        <v>0</v>
      </c>
      <c r="BW7" s="37">
        <v>0</v>
      </c>
      <c r="BX7" s="37">
        <v>1</v>
      </c>
      <c r="BY7" s="37">
        <v>0</v>
      </c>
      <c r="BZ7" s="37">
        <v>0</v>
      </c>
      <c r="CA7" s="37">
        <v>0</v>
      </c>
      <c r="CB7" s="37">
        <v>1</v>
      </c>
      <c r="CC7" s="37">
        <v>0</v>
      </c>
      <c r="CD7" s="37">
        <v>0</v>
      </c>
      <c r="CE7" s="37">
        <v>0</v>
      </c>
      <c r="CF7" s="37">
        <v>0</v>
      </c>
      <c r="CG7" s="37">
        <v>0</v>
      </c>
      <c r="CH7" s="37">
        <v>1</v>
      </c>
      <c r="CI7" s="37">
        <v>1</v>
      </c>
      <c r="CJ7" s="37">
        <v>0</v>
      </c>
      <c r="CK7" s="37">
        <v>0</v>
      </c>
      <c r="CL7" s="37">
        <v>0</v>
      </c>
      <c r="CM7" s="40" t="s">
        <v>188</v>
      </c>
      <c r="CN7" s="41">
        <v>44835</v>
      </c>
      <c r="CO7" s="42">
        <v>45334</v>
      </c>
      <c r="CP7" s="43">
        <f t="shared" si="2"/>
        <v>499</v>
      </c>
      <c r="CQ7" s="43">
        <f t="shared" si="0"/>
        <v>136</v>
      </c>
      <c r="CR7" s="48">
        <v>45198</v>
      </c>
      <c r="CS7" s="37" t="s">
        <v>189</v>
      </c>
      <c r="CT7" s="87">
        <v>1</v>
      </c>
      <c r="CU7" s="37">
        <v>0</v>
      </c>
      <c r="CV7" s="37">
        <v>1</v>
      </c>
      <c r="CW7" s="37" t="s">
        <v>190</v>
      </c>
      <c r="CX7" s="37">
        <v>0</v>
      </c>
      <c r="CY7" s="37">
        <v>0</v>
      </c>
      <c r="CZ7" s="37">
        <v>0</v>
      </c>
      <c r="DA7" s="37">
        <v>0</v>
      </c>
      <c r="DB7" s="37">
        <v>0</v>
      </c>
      <c r="DC7" s="37">
        <v>0</v>
      </c>
      <c r="DD7" s="38">
        <v>0</v>
      </c>
      <c r="DE7" s="37"/>
      <c r="DF7" s="38">
        <v>1</v>
      </c>
      <c r="DG7" s="38">
        <v>0</v>
      </c>
      <c r="DH7" s="38">
        <v>0</v>
      </c>
      <c r="DI7" s="38">
        <v>1</v>
      </c>
      <c r="DJ7" s="38">
        <v>0</v>
      </c>
      <c r="DK7" s="38">
        <v>0</v>
      </c>
      <c r="DL7" s="38">
        <v>0</v>
      </c>
      <c r="DM7" s="38">
        <v>0</v>
      </c>
      <c r="DN7" s="38">
        <v>0</v>
      </c>
      <c r="DO7" s="38">
        <v>0</v>
      </c>
      <c r="DP7" s="38">
        <v>0</v>
      </c>
      <c r="DQ7" s="38">
        <v>0</v>
      </c>
      <c r="DZ7" s="38">
        <v>7</v>
      </c>
      <c r="EA7" s="38">
        <v>3</v>
      </c>
      <c r="EB7" s="65" t="str">
        <f t="shared" si="3"/>
        <v>YES!</v>
      </c>
      <c r="EC7" s="108">
        <v>7423</v>
      </c>
      <c r="ED7" s="112" t="s">
        <v>191</v>
      </c>
      <c r="EE7" s="99">
        <v>258.5</v>
      </c>
      <c r="EF7" s="100">
        <v>166.5</v>
      </c>
      <c r="EG7" s="100">
        <v>282.5</v>
      </c>
      <c r="EH7" s="100">
        <v>-1</v>
      </c>
      <c r="EI7" s="100">
        <v>36</v>
      </c>
      <c r="EJ7" s="100">
        <v>22.25</v>
      </c>
      <c r="EK7" s="100">
        <v>10.25</v>
      </c>
      <c r="EL7" s="100">
        <v>270</v>
      </c>
      <c r="EM7" s="100">
        <v>52.5</v>
      </c>
      <c r="EN7" s="101">
        <v>207</v>
      </c>
      <c r="EO7" s="102">
        <v>174829.75</v>
      </c>
      <c r="EP7" s="100">
        <v>144314.25</v>
      </c>
      <c r="EQ7" s="100">
        <v>205137.75</v>
      </c>
      <c r="ER7" s="100">
        <v>562</v>
      </c>
      <c r="ES7" s="100">
        <v>257.25</v>
      </c>
      <c r="ET7" s="100">
        <v>134.5</v>
      </c>
      <c r="EU7" s="100">
        <v>68627.5</v>
      </c>
      <c r="EV7" s="100">
        <v>108870</v>
      </c>
      <c r="EW7" s="100">
        <v>64012.25</v>
      </c>
      <c r="EX7" s="103">
        <v>128146.5</v>
      </c>
    </row>
    <row r="8" spans="1:154" s="17" customFormat="1" ht="55.2" x14ac:dyDescent="0.3">
      <c r="A8" s="15">
        <v>7424</v>
      </c>
      <c r="B8" s="49"/>
      <c r="C8" s="66" t="s">
        <v>149</v>
      </c>
      <c r="D8" s="40">
        <v>54</v>
      </c>
      <c r="E8" s="49">
        <v>0</v>
      </c>
      <c r="F8" s="49">
        <v>0</v>
      </c>
      <c r="G8" s="40" t="s">
        <v>150</v>
      </c>
      <c r="H8" s="40" t="s">
        <v>192</v>
      </c>
      <c r="I8" s="49">
        <v>1.7</v>
      </c>
      <c r="J8" s="49">
        <v>115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1</v>
      </c>
      <c r="R8" s="17">
        <v>0</v>
      </c>
      <c r="S8" s="17">
        <v>0</v>
      </c>
      <c r="T8" s="17">
        <v>0</v>
      </c>
      <c r="U8" s="17">
        <v>1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72" t="s">
        <v>193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6" t="s">
        <v>194</v>
      </c>
      <c r="AK8" s="16">
        <v>18738485</v>
      </c>
      <c r="AL8" s="17" t="str">
        <f t="shared" si="1"/>
        <v>NO</v>
      </c>
      <c r="AM8" s="17">
        <v>0</v>
      </c>
      <c r="AN8" s="17">
        <v>0</v>
      </c>
      <c r="AO8" s="16">
        <v>1</v>
      </c>
      <c r="AP8" s="16">
        <v>1</v>
      </c>
      <c r="AQ8" s="16">
        <v>1</v>
      </c>
      <c r="AR8" s="16">
        <v>1</v>
      </c>
      <c r="AS8" s="16">
        <v>1</v>
      </c>
      <c r="AT8" s="16">
        <v>0</v>
      </c>
      <c r="AU8" s="16">
        <v>0</v>
      </c>
      <c r="AV8" s="16">
        <v>1</v>
      </c>
      <c r="AW8" s="16">
        <v>0</v>
      </c>
      <c r="AX8" s="16">
        <v>1</v>
      </c>
      <c r="AY8" s="16">
        <v>1</v>
      </c>
      <c r="AZ8" s="16">
        <v>1</v>
      </c>
      <c r="BA8" s="16">
        <v>1</v>
      </c>
      <c r="BB8" s="16">
        <v>1</v>
      </c>
      <c r="BC8" s="16">
        <v>1</v>
      </c>
      <c r="BD8" s="16">
        <v>1</v>
      </c>
      <c r="BE8" s="16">
        <v>1</v>
      </c>
      <c r="BF8" s="16">
        <v>0</v>
      </c>
      <c r="BG8" s="16">
        <v>0</v>
      </c>
      <c r="BH8" s="16">
        <v>0</v>
      </c>
      <c r="BI8" s="29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1</v>
      </c>
      <c r="BV8" s="16">
        <v>0</v>
      </c>
      <c r="BW8" s="16">
        <v>0</v>
      </c>
      <c r="BX8" s="16">
        <v>1</v>
      </c>
      <c r="BY8" s="16">
        <v>0</v>
      </c>
      <c r="BZ8" s="16">
        <v>0</v>
      </c>
      <c r="CA8" s="16">
        <v>0</v>
      </c>
      <c r="CB8" s="16">
        <v>1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1</v>
      </c>
      <c r="CI8" s="16">
        <v>1</v>
      </c>
      <c r="CJ8" s="16">
        <v>0</v>
      </c>
      <c r="CK8" s="16">
        <v>0</v>
      </c>
      <c r="CL8" s="16">
        <v>0</v>
      </c>
      <c r="CM8" s="49" t="s">
        <v>195</v>
      </c>
      <c r="CN8" s="50">
        <v>44211</v>
      </c>
      <c r="CO8" s="21">
        <v>45334</v>
      </c>
      <c r="CP8" s="22">
        <f t="shared" si="2"/>
        <v>1123</v>
      </c>
      <c r="CQ8" s="22">
        <f t="shared" si="0"/>
        <v>112</v>
      </c>
      <c r="CR8" s="51">
        <v>45222</v>
      </c>
      <c r="CS8" s="16" t="s">
        <v>196</v>
      </c>
      <c r="CT8" s="88" t="s">
        <v>184</v>
      </c>
      <c r="CU8" s="16">
        <v>0</v>
      </c>
      <c r="CV8" s="16">
        <v>1</v>
      </c>
      <c r="CW8" s="16" t="s">
        <v>197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7">
        <v>1</v>
      </c>
      <c r="DE8" s="16" t="s">
        <v>198</v>
      </c>
      <c r="DF8" s="17">
        <v>1</v>
      </c>
      <c r="DG8" s="17">
        <v>0</v>
      </c>
      <c r="DH8" s="17">
        <v>0</v>
      </c>
      <c r="DI8" s="17">
        <v>1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Z8" s="17">
        <v>16</v>
      </c>
      <c r="EA8" s="17">
        <v>11</v>
      </c>
      <c r="EB8" s="65" t="str">
        <f t="shared" si="3"/>
        <v>YES!</v>
      </c>
      <c r="EC8" s="108">
        <v>7424</v>
      </c>
      <c r="ED8" s="112" t="s">
        <v>199</v>
      </c>
      <c r="EE8" s="99">
        <v>1893.5</v>
      </c>
      <c r="EF8" s="100">
        <v>1323.25</v>
      </c>
      <c r="EG8" s="100">
        <v>2509.75</v>
      </c>
      <c r="EH8" s="100">
        <v>-5</v>
      </c>
      <c r="EI8" s="100">
        <v>115.5</v>
      </c>
      <c r="EJ8" s="100">
        <v>100.25</v>
      </c>
      <c r="EK8" s="100">
        <v>-11.25</v>
      </c>
      <c r="EL8" s="100">
        <v>637</v>
      </c>
      <c r="EM8" s="100">
        <v>1649.5</v>
      </c>
      <c r="EN8" s="101">
        <v>283.5</v>
      </c>
      <c r="EO8" s="102">
        <v>174166</v>
      </c>
      <c r="EP8" s="100">
        <v>201581.5</v>
      </c>
      <c r="EQ8" s="100">
        <v>206533</v>
      </c>
      <c r="ER8" s="100">
        <v>15292.75</v>
      </c>
      <c r="ES8" s="100">
        <v>66127</v>
      </c>
      <c r="ET8" s="100">
        <v>48691.5</v>
      </c>
      <c r="EU8" s="100">
        <v>6081</v>
      </c>
      <c r="EV8" s="100">
        <v>157824.75</v>
      </c>
      <c r="EW8" s="100">
        <v>197410.5</v>
      </c>
      <c r="EX8" s="103">
        <v>127998.75</v>
      </c>
    </row>
    <row r="9" spans="1:154" s="38" customFormat="1" ht="69" x14ac:dyDescent="0.3">
      <c r="A9" s="36">
        <v>7426</v>
      </c>
      <c r="B9" s="40"/>
      <c r="C9" s="66" t="s">
        <v>165</v>
      </c>
      <c r="D9" s="40">
        <v>42</v>
      </c>
      <c r="E9" s="40">
        <v>0</v>
      </c>
      <c r="F9" s="40">
        <v>0</v>
      </c>
      <c r="G9" s="40" t="s">
        <v>150</v>
      </c>
      <c r="H9" s="40" t="s">
        <v>180</v>
      </c>
      <c r="I9" s="40">
        <v>1.7</v>
      </c>
      <c r="J9" s="40">
        <v>82</v>
      </c>
      <c r="K9" s="38">
        <v>0</v>
      </c>
      <c r="L9" s="38">
        <v>0</v>
      </c>
      <c r="M9" s="38">
        <v>0</v>
      </c>
      <c r="N9" s="38">
        <v>0</v>
      </c>
      <c r="O9" s="38">
        <v>1</v>
      </c>
      <c r="P9" s="38">
        <v>0</v>
      </c>
      <c r="Q9" s="38">
        <v>1</v>
      </c>
      <c r="R9" s="38">
        <v>0</v>
      </c>
      <c r="S9" s="38">
        <v>0</v>
      </c>
      <c r="T9" s="38">
        <v>1</v>
      </c>
      <c r="U9" s="38">
        <v>1</v>
      </c>
      <c r="V9" s="38">
        <v>0</v>
      </c>
      <c r="W9" s="38">
        <v>0</v>
      </c>
      <c r="X9" s="38">
        <v>0</v>
      </c>
      <c r="Y9" s="38">
        <v>0</v>
      </c>
      <c r="Z9" s="38">
        <v>0</v>
      </c>
      <c r="AA9" s="38">
        <v>0</v>
      </c>
      <c r="AB9" s="38">
        <v>0</v>
      </c>
      <c r="AC9" s="72" t="s">
        <v>200</v>
      </c>
      <c r="AD9" s="38">
        <v>0</v>
      </c>
      <c r="AE9" s="38">
        <v>1</v>
      </c>
      <c r="AF9" s="38">
        <v>0</v>
      </c>
      <c r="AG9" s="38">
        <v>0</v>
      </c>
      <c r="AH9" s="38">
        <v>0</v>
      </c>
      <c r="AI9" s="38">
        <v>0</v>
      </c>
      <c r="AJ9" s="37" t="s">
        <v>201</v>
      </c>
      <c r="AK9" s="37">
        <v>11469300</v>
      </c>
      <c r="AL9" s="38" t="str">
        <f t="shared" si="1"/>
        <v>NO</v>
      </c>
      <c r="AM9" s="38">
        <v>0</v>
      </c>
      <c r="AN9" s="38">
        <v>1</v>
      </c>
      <c r="AO9" s="37">
        <v>1</v>
      </c>
      <c r="AP9" s="37">
        <v>0</v>
      </c>
      <c r="AQ9" s="37">
        <v>1</v>
      </c>
      <c r="AR9" s="37">
        <v>1</v>
      </c>
      <c r="AS9" s="37">
        <v>0</v>
      </c>
      <c r="AT9" s="37">
        <v>0</v>
      </c>
      <c r="AU9" s="37">
        <v>0</v>
      </c>
      <c r="AV9" s="37">
        <v>1</v>
      </c>
      <c r="AW9" s="37">
        <v>1</v>
      </c>
      <c r="AX9" s="37">
        <v>1</v>
      </c>
      <c r="AY9" s="37">
        <v>1</v>
      </c>
      <c r="AZ9" s="37">
        <v>0</v>
      </c>
      <c r="BA9" s="37">
        <v>0</v>
      </c>
      <c r="BB9" s="37">
        <v>1</v>
      </c>
      <c r="BC9" s="37">
        <v>1</v>
      </c>
      <c r="BD9" s="37">
        <v>0</v>
      </c>
      <c r="BE9" s="37">
        <v>0</v>
      </c>
      <c r="BF9" s="37">
        <v>1</v>
      </c>
      <c r="BG9" s="37">
        <v>0</v>
      </c>
      <c r="BH9" s="37">
        <v>0</v>
      </c>
      <c r="BI9" s="29">
        <v>1</v>
      </c>
      <c r="BJ9" s="37">
        <v>0</v>
      </c>
      <c r="BK9" s="37">
        <v>0</v>
      </c>
      <c r="BL9" s="37">
        <v>0</v>
      </c>
      <c r="BM9" s="37">
        <v>0</v>
      </c>
      <c r="BN9" s="37">
        <v>0</v>
      </c>
      <c r="BO9" s="37">
        <v>0</v>
      </c>
      <c r="BP9" s="37">
        <v>0</v>
      </c>
      <c r="BQ9" s="37">
        <v>0</v>
      </c>
      <c r="BR9" s="37">
        <v>0</v>
      </c>
      <c r="BS9" s="37">
        <v>0</v>
      </c>
      <c r="BT9" s="37">
        <v>0</v>
      </c>
      <c r="BU9" s="37">
        <v>1</v>
      </c>
      <c r="BV9" s="37">
        <v>0</v>
      </c>
      <c r="BW9" s="37">
        <v>0</v>
      </c>
      <c r="BX9" s="37">
        <v>1</v>
      </c>
      <c r="BY9" s="37">
        <v>1</v>
      </c>
      <c r="BZ9" s="37">
        <v>0</v>
      </c>
      <c r="CA9" s="37">
        <v>0</v>
      </c>
      <c r="CB9" s="37">
        <v>0</v>
      </c>
      <c r="CC9" s="37">
        <v>0</v>
      </c>
      <c r="CD9" s="37">
        <v>0</v>
      </c>
      <c r="CE9" s="37">
        <v>0</v>
      </c>
      <c r="CF9" s="37">
        <v>0</v>
      </c>
      <c r="CG9" s="37">
        <v>0</v>
      </c>
      <c r="CH9" s="37">
        <v>1</v>
      </c>
      <c r="CI9" s="37">
        <v>0</v>
      </c>
      <c r="CJ9" s="37">
        <v>0</v>
      </c>
      <c r="CK9" s="37">
        <v>0</v>
      </c>
      <c r="CL9" s="37">
        <v>0</v>
      </c>
      <c r="CM9" s="40" t="s">
        <v>202</v>
      </c>
      <c r="CN9" s="41">
        <v>44017</v>
      </c>
      <c r="CO9" s="42">
        <v>45341</v>
      </c>
      <c r="CP9" s="43">
        <f>_xlfn.DAYS(CO9,CN9)</f>
        <v>1324</v>
      </c>
      <c r="CQ9" s="43">
        <f t="shared" si="0"/>
        <v>784</v>
      </c>
      <c r="CR9" s="48">
        <v>44557</v>
      </c>
      <c r="CS9" s="37" t="s">
        <v>203</v>
      </c>
      <c r="CT9" s="87">
        <v>1</v>
      </c>
      <c r="CU9" s="37">
        <v>1</v>
      </c>
      <c r="CV9" s="37">
        <v>1</v>
      </c>
      <c r="CW9" s="37" t="s">
        <v>204</v>
      </c>
      <c r="CX9" s="37">
        <v>0</v>
      </c>
      <c r="CY9" s="37">
        <v>0</v>
      </c>
      <c r="CZ9" s="37">
        <v>0</v>
      </c>
      <c r="DA9" s="37">
        <v>0</v>
      </c>
      <c r="DB9" s="37">
        <v>0</v>
      </c>
      <c r="DC9" s="37">
        <v>0</v>
      </c>
      <c r="DD9" s="38">
        <v>0</v>
      </c>
      <c r="DE9" s="37"/>
      <c r="DF9" s="38">
        <v>1</v>
      </c>
      <c r="DG9" s="38">
        <v>0</v>
      </c>
      <c r="DH9" s="38">
        <v>0</v>
      </c>
      <c r="DI9" s="38">
        <v>0</v>
      </c>
      <c r="DJ9" s="38">
        <v>0</v>
      </c>
      <c r="DK9" s="38">
        <v>0</v>
      </c>
      <c r="DL9" s="38">
        <v>0</v>
      </c>
      <c r="DM9" s="38">
        <v>0</v>
      </c>
      <c r="DN9" s="38">
        <v>0</v>
      </c>
      <c r="DO9" s="38">
        <v>0</v>
      </c>
      <c r="DP9" s="38">
        <v>0</v>
      </c>
      <c r="DQ9" s="38">
        <v>0</v>
      </c>
      <c r="DU9" s="38" t="s">
        <v>205</v>
      </c>
      <c r="DV9" s="38" t="s">
        <v>206</v>
      </c>
      <c r="DZ9" s="38">
        <v>3</v>
      </c>
      <c r="EA9" s="38">
        <v>2</v>
      </c>
      <c r="EB9" s="65" t="str">
        <f t="shared" si="3"/>
        <v>YES!</v>
      </c>
      <c r="EC9" s="108">
        <v>7426</v>
      </c>
      <c r="ED9" s="112" t="s">
        <v>207</v>
      </c>
      <c r="EE9" s="99">
        <v>956.75</v>
      </c>
      <c r="EF9" s="100">
        <v>640.25</v>
      </c>
      <c r="EG9" s="100">
        <v>393.75</v>
      </c>
      <c r="EH9" s="100">
        <v>45.25</v>
      </c>
      <c r="EI9" s="100">
        <v>90.25</v>
      </c>
      <c r="EJ9" s="100">
        <v>124.25</v>
      </c>
      <c r="EK9" s="100">
        <v>-10</v>
      </c>
      <c r="EL9" s="100">
        <v>64.25</v>
      </c>
      <c r="EM9" s="100">
        <v>-21.5</v>
      </c>
      <c r="EN9" s="101">
        <v>43.75</v>
      </c>
      <c r="EO9" s="102">
        <v>189378.75</v>
      </c>
      <c r="EP9" s="100">
        <v>191103</v>
      </c>
      <c r="EQ9" s="100">
        <v>187612</v>
      </c>
      <c r="ER9" s="100">
        <v>33458.5</v>
      </c>
      <c r="ES9" s="100">
        <v>54611.25</v>
      </c>
      <c r="ET9" s="100">
        <v>73298.75</v>
      </c>
      <c r="EU9" s="100">
        <v>50223</v>
      </c>
      <c r="EV9" s="100">
        <v>18252</v>
      </c>
      <c r="EW9" s="100">
        <v>7954.25</v>
      </c>
      <c r="EX9" s="103">
        <v>58212.75</v>
      </c>
    </row>
    <row r="10" spans="1:154" s="38" customFormat="1" ht="43.2" x14ac:dyDescent="0.3">
      <c r="A10" s="52">
        <v>7010</v>
      </c>
      <c r="B10" s="46"/>
      <c r="C10" s="66" t="s">
        <v>149</v>
      </c>
      <c r="D10" s="46">
        <v>43</v>
      </c>
      <c r="E10" s="40">
        <v>0</v>
      </c>
      <c r="F10" s="40">
        <v>0</v>
      </c>
      <c r="G10" s="40" t="s">
        <v>150</v>
      </c>
      <c r="H10" s="46" t="s">
        <v>151</v>
      </c>
      <c r="I10" s="40">
        <v>1.6</v>
      </c>
      <c r="J10" s="40">
        <v>60.8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72"/>
      <c r="AD10" s="38">
        <v>0</v>
      </c>
      <c r="AE10" s="38">
        <v>0</v>
      </c>
      <c r="AF10" s="38">
        <v>0</v>
      </c>
      <c r="AG10" s="38">
        <v>0</v>
      </c>
      <c r="AH10" s="38">
        <v>0</v>
      </c>
      <c r="AI10" s="38">
        <v>0</v>
      </c>
      <c r="AJ10" s="37" t="s">
        <v>208</v>
      </c>
      <c r="AK10" s="46">
        <v>25160437</v>
      </c>
      <c r="AL10" s="38" t="str">
        <f t="shared" si="1"/>
        <v>NO</v>
      </c>
      <c r="AM10" s="38">
        <v>1</v>
      </c>
      <c r="AN10" s="38">
        <v>0</v>
      </c>
      <c r="AO10" s="37">
        <v>0</v>
      </c>
      <c r="AP10" s="37">
        <v>1</v>
      </c>
      <c r="AQ10" s="37">
        <v>1</v>
      </c>
      <c r="AR10" s="37">
        <v>1</v>
      </c>
      <c r="AS10" s="37">
        <v>1</v>
      </c>
      <c r="AT10" s="37">
        <v>1</v>
      </c>
      <c r="AU10" s="37">
        <v>1</v>
      </c>
      <c r="AV10" s="37">
        <v>1</v>
      </c>
      <c r="AW10" s="37">
        <v>0</v>
      </c>
      <c r="AX10" s="37">
        <v>1</v>
      </c>
      <c r="AY10" s="37">
        <v>1</v>
      </c>
      <c r="AZ10" s="37">
        <v>1</v>
      </c>
      <c r="BA10" s="37">
        <v>1</v>
      </c>
      <c r="BB10" s="37">
        <v>1</v>
      </c>
      <c r="BC10" s="37">
        <v>0</v>
      </c>
      <c r="BD10" s="37">
        <v>0</v>
      </c>
      <c r="BE10" s="37">
        <v>1</v>
      </c>
      <c r="BF10" s="37">
        <v>0</v>
      </c>
      <c r="BG10" s="37">
        <v>0</v>
      </c>
      <c r="BH10" s="37">
        <v>1</v>
      </c>
      <c r="BI10" s="29">
        <v>0</v>
      </c>
      <c r="BJ10" s="37">
        <v>0</v>
      </c>
      <c r="BK10" s="37">
        <v>0</v>
      </c>
      <c r="BL10" s="37">
        <v>0</v>
      </c>
      <c r="BM10" s="37">
        <v>1</v>
      </c>
      <c r="BN10" s="37">
        <v>1</v>
      </c>
      <c r="BO10" s="37">
        <v>0</v>
      </c>
      <c r="BP10" s="37">
        <v>0</v>
      </c>
      <c r="BQ10" s="37">
        <v>0</v>
      </c>
      <c r="BR10" s="37">
        <v>0</v>
      </c>
      <c r="BS10" s="37">
        <v>0</v>
      </c>
      <c r="BT10" s="37">
        <v>0</v>
      </c>
      <c r="BU10" s="37">
        <v>1</v>
      </c>
      <c r="BV10" s="37">
        <v>0</v>
      </c>
      <c r="BW10" s="37">
        <v>1</v>
      </c>
      <c r="BX10" s="37">
        <v>1</v>
      </c>
      <c r="BY10" s="37">
        <v>0</v>
      </c>
      <c r="BZ10" s="37">
        <v>0</v>
      </c>
      <c r="CA10" s="37">
        <v>0</v>
      </c>
      <c r="CB10" s="37">
        <v>0</v>
      </c>
      <c r="CC10" s="37">
        <v>0</v>
      </c>
      <c r="CD10" s="37">
        <v>0</v>
      </c>
      <c r="CE10" s="37">
        <v>0</v>
      </c>
      <c r="CF10" s="37">
        <v>0</v>
      </c>
      <c r="CG10" s="37">
        <v>0</v>
      </c>
      <c r="CH10" s="37">
        <v>1</v>
      </c>
      <c r="CI10" s="37">
        <v>1</v>
      </c>
      <c r="CJ10" s="37">
        <v>0</v>
      </c>
      <c r="CK10" s="37">
        <v>0</v>
      </c>
      <c r="CL10" s="37">
        <v>0</v>
      </c>
      <c r="CM10" s="14" t="s">
        <v>209</v>
      </c>
      <c r="CN10" s="14">
        <v>44558</v>
      </c>
      <c r="CO10" s="53">
        <v>44769</v>
      </c>
      <c r="CP10" s="54">
        <f t="shared" ref="CP10:CP22" si="4">_xlfn.DAYS(CO10,CN10)</f>
        <v>211</v>
      </c>
      <c r="CQ10" s="43">
        <f t="shared" si="0"/>
        <v>300</v>
      </c>
      <c r="CR10" s="48">
        <v>44469</v>
      </c>
      <c r="CS10" s="37" t="s">
        <v>210</v>
      </c>
      <c r="CT10" s="87">
        <v>1</v>
      </c>
      <c r="CU10" s="37">
        <v>1</v>
      </c>
      <c r="CV10" s="37">
        <v>1</v>
      </c>
      <c r="CW10" s="37" t="s">
        <v>211</v>
      </c>
      <c r="CX10" s="37">
        <v>0</v>
      </c>
      <c r="CY10" s="37">
        <v>1</v>
      </c>
      <c r="CZ10" s="37">
        <v>0</v>
      </c>
      <c r="DA10" s="37">
        <v>0</v>
      </c>
      <c r="DB10" s="37">
        <v>0</v>
      </c>
      <c r="DC10" s="37">
        <v>0</v>
      </c>
      <c r="DD10" s="38">
        <v>0</v>
      </c>
      <c r="DE10" s="37"/>
      <c r="DF10" s="38">
        <v>1</v>
      </c>
      <c r="DG10" s="38">
        <v>0</v>
      </c>
      <c r="DH10" s="38">
        <v>0</v>
      </c>
      <c r="DI10" s="38">
        <v>0</v>
      </c>
      <c r="DJ10" s="38">
        <v>0</v>
      </c>
      <c r="DK10" s="38">
        <v>0</v>
      </c>
      <c r="DL10" s="38">
        <v>0</v>
      </c>
      <c r="DM10" s="38">
        <v>0</v>
      </c>
      <c r="DN10" s="38">
        <v>0</v>
      </c>
      <c r="DO10" s="38">
        <v>0</v>
      </c>
      <c r="DP10" s="38">
        <v>0</v>
      </c>
      <c r="DQ10" s="38">
        <v>0</v>
      </c>
      <c r="DU10" s="38" t="s">
        <v>205</v>
      </c>
      <c r="DV10" s="38" t="s">
        <v>206</v>
      </c>
      <c r="DZ10" s="38">
        <v>6</v>
      </c>
      <c r="EA10" s="38">
        <v>5</v>
      </c>
      <c r="EB10" s="65" t="str">
        <f t="shared" si="3"/>
        <v>YES!</v>
      </c>
      <c r="EC10" s="109">
        <v>7010</v>
      </c>
      <c r="ED10" s="112" t="s">
        <v>212</v>
      </c>
      <c r="EE10" s="102">
        <v>201.75</v>
      </c>
      <c r="EF10" s="100">
        <v>112.5</v>
      </c>
      <c r="EG10" s="100">
        <v>176.25</v>
      </c>
      <c r="EH10" s="100">
        <v>-18.25</v>
      </c>
      <c r="EI10" s="100">
        <v>-32.75</v>
      </c>
      <c r="EJ10" s="100">
        <v>37.5</v>
      </c>
      <c r="EK10" s="100">
        <v>1126.25</v>
      </c>
      <c r="EL10" s="100">
        <v>2836.25</v>
      </c>
      <c r="EM10" s="100">
        <v>65.5</v>
      </c>
      <c r="EN10" s="101">
        <v>58.25</v>
      </c>
      <c r="EO10" s="102">
        <v>53927.75</v>
      </c>
      <c r="EP10" s="100">
        <v>33040.25</v>
      </c>
      <c r="EQ10" s="100">
        <v>51370.75</v>
      </c>
      <c r="ER10" s="100">
        <v>1669</v>
      </c>
      <c r="ES10" s="100">
        <v>77.75</v>
      </c>
      <c r="ET10" s="100">
        <v>202.5</v>
      </c>
      <c r="EU10" s="100">
        <v>223942.75</v>
      </c>
      <c r="EV10" s="100">
        <v>182973.5</v>
      </c>
      <c r="EW10" s="100">
        <v>19613.5</v>
      </c>
      <c r="EX10" s="103">
        <v>16821</v>
      </c>
    </row>
    <row r="11" spans="1:154" s="38" customFormat="1" ht="43.2" x14ac:dyDescent="0.3">
      <c r="A11" s="52">
        <v>7023</v>
      </c>
      <c r="B11" s="46"/>
      <c r="C11" s="66" t="s">
        <v>165</v>
      </c>
      <c r="D11" s="46">
        <v>76</v>
      </c>
      <c r="E11" s="40">
        <v>0</v>
      </c>
      <c r="F11" s="40">
        <v>0</v>
      </c>
      <c r="G11" s="46" t="s">
        <v>150</v>
      </c>
      <c r="H11" s="46" t="s">
        <v>151</v>
      </c>
      <c r="I11" s="40">
        <v>1.778</v>
      </c>
      <c r="J11" s="40">
        <v>78.599999999999994</v>
      </c>
      <c r="K11" s="38">
        <v>1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38">
        <v>0</v>
      </c>
      <c r="AB11" s="38">
        <v>0</v>
      </c>
      <c r="AC11" s="72"/>
      <c r="AD11" s="38">
        <v>0</v>
      </c>
      <c r="AE11" s="38">
        <v>0</v>
      </c>
      <c r="AF11" s="38">
        <v>0</v>
      </c>
      <c r="AG11" s="38">
        <v>0</v>
      </c>
      <c r="AH11" s="38">
        <v>0</v>
      </c>
      <c r="AI11" s="38">
        <v>0</v>
      </c>
      <c r="AJ11" s="37" t="s">
        <v>213</v>
      </c>
      <c r="AK11" s="46">
        <v>15938277</v>
      </c>
      <c r="AL11" s="38" t="str">
        <f t="shared" si="1"/>
        <v>NO</v>
      </c>
      <c r="AM11" s="38">
        <v>0</v>
      </c>
      <c r="AN11" s="38">
        <v>0</v>
      </c>
      <c r="AO11" s="37">
        <v>1</v>
      </c>
      <c r="AP11" s="37">
        <v>0</v>
      </c>
      <c r="AQ11" s="37">
        <v>1</v>
      </c>
      <c r="AR11" s="37">
        <v>1</v>
      </c>
      <c r="AS11" s="37">
        <v>1</v>
      </c>
      <c r="AT11" s="37">
        <v>1</v>
      </c>
      <c r="AU11" s="37">
        <v>0</v>
      </c>
      <c r="AV11" s="37">
        <v>1</v>
      </c>
      <c r="AW11" s="37">
        <v>0</v>
      </c>
      <c r="AX11" s="37">
        <v>0</v>
      </c>
      <c r="AY11" s="37">
        <v>0</v>
      </c>
      <c r="AZ11" s="37">
        <v>0</v>
      </c>
      <c r="BA11" s="37">
        <v>0</v>
      </c>
      <c r="BB11" s="37">
        <v>0</v>
      </c>
      <c r="BC11" s="37">
        <v>0</v>
      </c>
      <c r="BD11" s="37">
        <v>0</v>
      </c>
      <c r="BE11" s="37">
        <v>0</v>
      </c>
      <c r="BF11" s="37">
        <v>0</v>
      </c>
      <c r="BG11" s="37">
        <v>0</v>
      </c>
      <c r="BH11" s="37">
        <v>0</v>
      </c>
      <c r="BI11" s="29">
        <v>0</v>
      </c>
      <c r="BJ11" s="37">
        <v>0</v>
      </c>
      <c r="BK11" s="37">
        <v>0</v>
      </c>
      <c r="BL11" s="37">
        <v>0</v>
      </c>
      <c r="BM11" s="37">
        <v>0</v>
      </c>
      <c r="BN11" s="37">
        <v>0</v>
      </c>
      <c r="BO11" s="37">
        <v>0</v>
      </c>
      <c r="BP11" s="37">
        <v>0</v>
      </c>
      <c r="BQ11" s="37">
        <v>0</v>
      </c>
      <c r="BR11" s="37">
        <v>1</v>
      </c>
      <c r="BS11" s="37">
        <v>0</v>
      </c>
      <c r="BT11" s="37">
        <v>0</v>
      </c>
      <c r="BU11" s="37">
        <v>0</v>
      </c>
      <c r="BV11" s="37">
        <v>0</v>
      </c>
      <c r="BW11" s="37">
        <v>0</v>
      </c>
      <c r="BX11" s="37">
        <v>1</v>
      </c>
      <c r="BY11" s="37">
        <v>0</v>
      </c>
      <c r="BZ11" s="37">
        <v>0</v>
      </c>
      <c r="CA11" s="37">
        <v>0</v>
      </c>
      <c r="CB11" s="37">
        <v>0</v>
      </c>
      <c r="CC11" s="37">
        <v>0</v>
      </c>
      <c r="CD11" s="37">
        <v>0</v>
      </c>
      <c r="CE11" s="37">
        <v>0</v>
      </c>
      <c r="CF11" s="37">
        <v>0</v>
      </c>
      <c r="CG11" s="37">
        <v>0</v>
      </c>
      <c r="CH11" s="37">
        <v>0</v>
      </c>
      <c r="CI11" s="37">
        <v>0</v>
      </c>
      <c r="CJ11" s="37">
        <v>0</v>
      </c>
      <c r="CK11" s="37">
        <v>0</v>
      </c>
      <c r="CL11" s="37">
        <v>0</v>
      </c>
      <c r="CM11" s="14">
        <v>44019</v>
      </c>
      <c r="CN11" s="14">
        <v>44019</v>
      </c>
      <c r="CO11" s="53">
        <v>44783</v>
      </c>
      <c r="CP11" s="54">
        <f t="shared" si="4"/>
        <v>764</v>
      </c>
      <c r="CQ11" s="43" t="e">
        <f t="shared" si="0"/>
        <v>#VALUE!</v>
      </c>
      <c r="CR11" s="37" t="s">
        <v>184</v>
      </c>
      <c r="CS11" s="37" t="s">
        <v>184</v>
      </c>
      <c r="CT11" s="87" t="s">
        <v>184</v>
      </c>
      <c r="CU11" s="37">
        <v>0</v>
      </c>
      <c r="CV11" s="37">
        <v>1</v>
      </c>
      <c r="CW11" s="37"/>
      <c r="CX11" s="37">
        <v>1</v>
      </c>
      <c r="CY11" s="37">
        <v>0</v>
      </c>
      <c r="CZ11" s="37">
        <v>0</v>
      </c>
      <c r="DA11" s="37">
        <v>0</v>
      </c>
      <c r="DB11" s="37">
        <v>0</v>
      </c>
      <c r="DC11" s="37">
        <v>0</v>
      </c>
      <c r="DD11" s="38">
        <v>1</v>
      </c>
      <c r="DE11" s="37" t="s">
        <v>214</v>
      </c>
      <c r="DF11" s="38">
        <v>1</v>
      </c>
      <c r="DG11" s="38">
        <v>0</v>
      </c>
      <c r="DH11" s="38">
        <v>0</v>
      </c>
      <c r="DI11" s="38">
        <v>0</v>
      </c>
      <c r="DJ11" s="38">
        <v>0</v>
      </c>
      <c r="DK11" s="38">
        <v>0</v>
      </c>
      <c r="DL11" s="38">
        <v>0</v>
      </c>
      <c r="DM11" s="38">
        <v>0</v>
      </c>
      <c r="DN11" s="38">
        <v>0</v>
      </c>
      <c r="DO11" s="38">
        <v>0</v>
      </c>
      <c r="DP11" s="38">
        <v>0</v>
      </c>
      <c r="DQ11" s="38">
        <v>0</v>
      </c>
      <c r="DZ11" s="38">
        <v>1</v>
      </c>
      <c r="EA11" s="38">
        <v>1</v>
      </c>
      <c r="EB11" s="65" t="str">
        <f t="shared" si="3"/>
        <v>YES!</v>
      </c>
      <c r="EC11" s="109">
        <v>7023</v>
      </c>
      <c r="ED11" s="112" t="s">
        <v>215</v>
      </c>
      <c r="EE11" s="102">
        <v>1047</v>
      </c>
      <c r="EF11" s="100">
        <v>768</v>
      </c>
      <c r="EG11" s="100">
        <v>833.5</v>
      </c>
      <c r="EH11" s="100">
        <v>3.25</v>
      </c>
      <c r="EI11" s="100">
        <v>81.25</v>
      </c>
      <c r="EJ11" s="100">
        <v>85.5</v>
      </c>
      <c r="EK11" s="100">
        <v>6</v>
      </c>
      <c r="EL11" s="100">
        <v>192.75</v>
      </c>
      <c r="EM11" s="100">
        <v>234</v>
      </c>
      <c r="EN11" s="101">
        <v>34.25</v>
      </c>
      <c r="EO11" s="102">
        <v>193681.25</v>
      </c>
      <c r="EP11" s="100">
        <v>209817.5</v>
      </c>
      <c r="EQ11" s="100">
        <v>247009.25</v>
      </c>
      <c r="ER11" s="100">
        <v>51569.25</v>
      </c>
      <c r="ES11" s="100">
        <v>133783.25</v>
      </c>
      <c r="ET11" s="100">
        <v>95077.25</v>
      </c>
      <c r="EU11" s="100">
        <v>212439</v>
      </c>
      <c r="EV11" s="100">
        <v>207342.75</v>
      </c>
      <c r="EW11" s="100">
        <v>170871</v>
      </c>
      <c r="EX11" s="103">
        <v>124249</v>
      </c>
    </row>
    <row r="12" spans="1:154" s="38" customFormat="1" ht="43.2" x14ac:dyDescent="0.3">
      <c r="A12" s="52">
        <v>7024</v>
      </c>
      <c r="B12" s="46"/>
      <c r="C12" s="40" t="s">
        <v>149</v>
      </c>
      <c r="D12" s="46">
        <v>32</v>
      </c>
      <c r="E12" s="40">
        <v>0</v>
      </c>
      <c r="F12" s="40">
        <v>0</v>
      </c>
      <c r="G12" s="46" t="s">
        <v>150</v>
      </c>
      <c r="H12" s="46" t="s">
        <v>216</v>
      </c>
      <c r="I12" s="40">
        <v>1.7</v>
      </c>
      <c r="J12" s="40">
        <v>81.7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  <c r="R12" s="38">
        <v>0</v>
      </c>
      <c r="S12" s="38">
        <v>0</v>
      </c>
      <c r="T12" s="38">
        <v>0</v>
      </c>
      <c r="U12" s="38">
        <v>1</v>
      </c>
      <c r="V12" s="38">
        <v>1</v>
      </c>
      <c r="W12" s="38">
        <v>0</v>
      </c>
      <c r="X12" s="38">
        <v>1</v>
      </c>
      <c r="Y12" s="38">
        <v>0</v>
      </c>
      <c r="Z12" s="38">
        <v>1</v>
      </c>
      <c r="AA12" s="38">
        <v>0</v>
      </c>
      <c r="AB12" s="38">
        <v>0</v>
      </c>
      <c r="AC12" s="72" t="s">
        <v>217</v>
      </c>
      <c r="AD12" s="38">
        <v>0</v>
      </c>
      <c r="AE12" s="38">
        <v>0</v>
      </c>
      <c r="AF12" s="38">
        <v>0</v>
      </c>
      <c r="AG12" s="38">
        <v>0</v>
      </c>
      <c r="AH12" s="38">
        <v>0</v>
      </c>
      <c r="AI12" s="38">
        <v>0</v>
      </c>
      <c r="AJ12" s="37" t="s">
        <v>218</v>
      </c>
      <c r="AK12" s="46">
        <v>53782021</v>
      </c>
      <c r="AL12" s="38" t="str">
        <f t="shared" si="1"/>
        <v>NO</v>
      </c>
      <c r="AM12" s="38">
        <v>0</v>
      </c>
      <c r="AN12" s="38">
        <v>0</v>
      </c>
      <c r="AO12" s="37">
        <v>0</v>
      </c>
      <c r="AP12" s="37">
        <v>0</v>
      </c>
      <c r="AQ12" s="37">
        <v>1</v>
      </c>
      <c r="AR12" s="37">
        <v>1</v>
      </c>
      <c r="AS12" s="37">
        <v>1</v>
      </c>
      <c r="AT12" s="37">
        <v>0</v>
      </c>
      <c r="AU12" s="37">
        <v>0</v>
      </c>
      <c r="AV12" s="37">
        <v>0</v>
      </c>
      <c r="AW12" s="37">
        <v>0</v>
      </c>
      <c r="AX12" s="37">
        <v>0</v>
      </c>
      <c r="AY12" s="37">
        <v>1</v>
      </c>
      <c r="AZ12" s="37">
        <v>0</v>
      </c>
      <c r="BA12" s="37">
        <v>1</v>
      </c>
      <c r="BB12" s="37">
        <v>1</v>
      </c>
      <c r="BC12" s="37">
        <v>0</v>
      </c>
      <c r="BD12" s="37">
        <v>1</v>
      </c>
      <c r="BE12" s="37">
        <v>1</v>
      </c>
      <c r="BF12" s="37">
        <v>0</v>
      </c>
      <c r="BG12" s="37">
        <v>0</v>
      </c>
      <c r="BH12" s="37">
        <v>0</v>
      </c>
      <c r="BI12" s="29">
        <v>0</v>
      </c>
      <c r="BJ12" s="37">
        <v>0</v>
      </c>
      <c r="BK12" s="37">
        <v>0</v>
      </c>
      <c r="BL12" s="37">
        <v>0</v>
      </c>
      <c r="BM12" s="37">
        <v>1</v>
      </c>
      <c r="BN12" s="37">
        <v>1</v>
      </c>
      <c r="BO12" s="37">
        <v>0</v>
      </c>
      <c r="BP12" s="37">
        <v>0</v>
      </c>
      <c r="BQ12" s="37">
        <v>0</v>
      </c>
      <c r="BR12" s="37">
        <v>0</v>
      </c>
      <c r="BS12" s="37">
        <v>0</v>
      </c>
      <c r="BT12" s="37">
        <v>0</v>
      </c>
      <c r="BU12" s="37">
        <v>1</v>
      </c>
      <c r="BV12" s="37">
        <v>0</v>
      </c>
      <c r="BW12" s="37">
        <v>1</v>
      </c>
      <c r="BX12" s="37">
        <v>1</v>
      </c>
      <c r="BY12" s="37">
        <v>0</v>
      </c>
      <c r="BZ12" s="37">
        <v>0</v>
      </c>
      <c r="CA12" s="37">
        <v>0</v>
      </c>
      <c r="CB12" s="37">
        <v>0</v>
      </c>
      <c r="CC12" s="37">
        <v>0</v>
      </c>
      <c r="CD12" s="37">
        <v>0</v>
      </c>
      <c r="CE12" s="37">
        <v>0</v>
      </c>
      <c r="CF12" s="37">
        <v>0</v>
      </c>
      <c r="CG12" s="37">
        <v>0</v>
      </c>
      <c r="CH12" s="37">
        <v>1</v>
      </c>
      <c r="CI12" s="37">
        <v>0</v>
      </c>
      <c r="CJ12" s="37">
        <v>0</v>
      </c>
      <c r="CK12" s="37">
        <v>0</v>
      </c>
      <c r="CL12" s="37">
        <v>0</v>
      </c>
      <c r="CM12" s="14">
        <v>44556</v>
      </c>
      <c r="CN12" s="14">
        <v>44556</v>
      </c>
      <c r="CO12" s="53">
        <v>44783</v>
      </c>
      <c r="CP12" s="54">
        <f t="shared" si="4"/>
        <v>227</v>
      </c>
      <c r="CQ12" s="43" t="e">
        <f t="shared" si="0"/>
        <v>#VALUE!</v>
      </c>
      <c r="CR12" s="48" t="s">
        <v>184</v>
      </c>
      <c r="CS12" s="48">
        <v>44789</v>
      </c>
      <c r="CT12" s="87">
        <v>1</v>
      </c>
      <c r="CU12" s="37">
        <v>0</v>
      </c>
      <c r="CV12" s="37">
        <v>0</v>
      </c>
      <c r="CW12" s="37"/>
      <c r="CX12" s="37">
        <v>0</v>
      </c>
      <c r="CY12" s="37">
        <v>0</v>
      </c>
      <c r="CZ12" s="37">
        <v>0</v>
      </c>
      <c r="DA12" s="37">
        <v>0</v>
      </c>
      <c r="DB12" s="37">
        <v>0</v>
      </c>
      <c r="DC12" s="37">
        <v>0</v>
      </c>
      <c r="DD12" s="38">
        <v>0</v>
      </c>
      <c r="DE12" s="37"/>
      <c r="DF12" s="38">
        <v>1</v>
      </c>
      <c r="DG12" s="38">
        <v>0</v>
      </c>
      <c r="DH12" s="38">
        <v>0</v>
      </c>
      <c r="DI12" s="38">
        <v>0</v>
      </c>
      <c r="DJ12" s="38">
        <v>0</v>
      </c>
      <c r="DK12" s="38">
        <v>0</v>
      </c>
      <c r="DL12" s="38">
        <v>0</v>
      </c>
      <c r="DM12" s="38">
        <v>0</v>
      </c>
      <c r="DN12" s="38">
        <v>0</v>
      </c>
      <c r="DO12" s="38">
        <v>1</v>
      </c>
      <c r="DP12" s="38">
        <v>0</v>
      </c>
      <c r="DQ12" s="38">
        <v>0</v>
      </c>
      <c r="DU12" s="38" t="s">
        <v>205</v>
      </c>
      <c r="DV12" s="38" t="s">
        <v>206</v>
      </c>
      <c r="DZ12" s="38">
        <v>16</v>
      </c>
      <c r="EA12" s="38">
        <v>11</v>
      </c>
      <c r="EB12" s="65" t="str">
        <f t="shared" si="3"/>
        <v>YES!</v>
      </c>
      <c r="EC12" s="109">
        <v>7024</v>
      </c>
      <c r="ED12" s="112" t="s">
        <v>219</v>
      </c>
      <c r="EE12" s="102">
        <v>217.75</v>
      </c>
      <c r="EF12" s="100">
        <v>73.25</v>
      </c>
      <c r="EG12" s="100">
        <v>32.75</v>
      </c>
      <c r="EH12" s="100">
        <v>-35</v>
      </c>
      <c r="EI12" s="100">
        <v>-15</v>
      </c>
      <c r="EJ12" s="100">
        <v>40.75</v>
      </c>
      <c r="EK12" s="100">
        <v>-19.75</v>
      </c>
      <c r="EL12" s="100">
        <v>15</v>
      </c>
      <c r="EM12" s="100">
        <v>108.5</v>
      </c>
      <c r="EN12" s="101">
        <v>-12</v>
      </c>
      <c r="EO12" s="102">
        <v>210568</v>
      </c>
      <c r="EP12" s="100">
        <v>182090.5</v>
      </c>
      <c r="EQ12" s="100">
        <v>91940.25</v>
      </c>
      <c r="ER12" s="100">
        <v>104.5</v>
      </c>
      <c r="ES12" s="100">
        <v>23952</v>
      </c>
      <c r="ET12" s="100">
        <v>8869.5</v>
      </c>
      <c r="EU12" s="100">
        <v>102165.5</v>
      </c>
      <c r="EV12" s="100">
        <v>77164.25</v>
      </c>
      <c r="EW12" s="100">
        <v>152883</v>
      </c>
      <c r="EX12" s="103">
        <v>135.75</v>
      </c>
    </row>
    <row r="13" spans="1:154" s="38" customFormat="1" ht="69" x14ac:dyDescent="0.3">
      <c r="A13" s="52">
        <v>7030</v>
      </c>
      <c r="B13" s="46"/>
      <c r="C13" s="40" t="s">
        <v>165</v>
      </c>
      <c r="D13" s="46">
        <v>40</v>
      </c>
      <c r="E13" s="40">
        <v>0</v>
      </c>
      <c r="F13" s="40">
        <v>0</v>
      </c>
      <c r="G13" s="46" t="s">
        <v>150</v>
      </c>
      <c r="H13" s="46" t="s">
        <v>216</v>
      </c>
      <c r="I13" s="40">
        <v>1.8</v>
      </c>
      <c r="J13" s="40">
        <v>104</v>
      </c>
      <c r="K13" s="38">
        <v>1</v>
      </c>
      <c r="L13" s="38">
        <v>0</v>
      </c>
      <c r="M13" s="38">
        <v>1</v>
      </c>
      <c r="N13" s="38">
        <v>0</v>
      </c>
      <c r="O13" s="38">
        <v>0</v>
      </c>
      <c r="P13" s="38">
        <v>0</v>
      </c>
      <c r="Q13" s="38">
        <v>0</v>
      </c>
      <c r="R13" s="38">
        <v>0</v>
      </c>
      <c r="S13" s="38">
        <v>0</v>
      </c>
      <c r="T13" s="38">
        <v>0</v>
      </c>
      <c r="U13" s="38">
        <v>1</v>
      </c>
      <c r="V13" s="38">
        <v>0</v>
      </c>
      <c r="W13" s="38">
        <v>0</v>
      </c>
      <c r="X13" s="38">
        <v>0</v>
      </c>
      <c r="Y13" s="38">
        <v>0</v>
      </c>
      <c r="Z13" s="38">
        <v>0</v>
      </c>
      <c r="AA13" s="38">
        <v>0</v>
      </c>
      <c r="AB13" s="38">
        <v>0</v>
      </c>
      <c r="AC13" s="72"/>
      <c r="AD13" s="38">
        <v>0</v>
      </c>
      <c r="AE13" s="38">
        <v>0</v>
      </c>
      <c r="AF13" s="38">
        <v>0</v>
      </c>
      <c r="AG13" s="38">
        <v>1</v>
      </c>
      <c r="AH13" s="38">
        <v>0</v>
      </c>
      <c r="AI13" s="38">
        <v>0</v>
      </c>
      <c r="AJ13" s="37" t="s">
        <v>220</v>
      </c>
      <c r="AK13" s="46">
        <v>53862250</v>
      </c>
      <c r="AL13" s="38" t="str">
        <f t="shared" si="1"/>
        <v>NO</v>
      </c>
      <c r="AM13" s="38">
        <v>0</v>
      </c>
      <c r="AN13" s="38">
        <v>0</v>
      </c>
      <c r="AO13" s="37">
        <v>1</v>
      </c>
      <c r="AP13" s="37">
        <v>0</v>
      </c>
      <c r="AQ13" s="37">
        <v>1</v>
      </c>
      <c r="AR13" s="37">
        <v>1</v>
      </c>
      <c r="AS13" s="37">
        <v>1</v>
      </c>
      <c r="AT13" s="37">
        <v>0</v>
      </c>
      <c r="AU13" s="37">
        <v>0</v>
      </c>
      <c r="AV13" s="37">
        <v>0</v>
      </c>
      <c r="AW13" s="37">
        <v>0</v>
      </c>
      <c r="AX13" s="37">
        <v>0</v>
      </c>
      <c r="AY13" s="37">
        <v>1</v>
      </c>
      <c r="AZ13" s="37">
        <v>1</v>
      </c>
      <c r="BA13" s="37">
        <v>1</v>
      </c>
      <c r="BB13" s="37">
        <v>1</v>
      </c>
      <c r="BC13" s="37">
        <v>0</v>
      </c>
      <c r="BD13" s="37">
        <v>0</v>
      </c>
      <c r="BE13" s="37">
        <v>0</v>
      </c>
      <c r="BF13" s="37">
        <v>1</v>
      </c>
      <c r="BG13" s="37">
        <v>1</v>
      </c>
      <c r="BH13" s="37">
        <v>0</v>
      </c>
      <c r="BI13" s="29">
        <v>0</v>
      </c>
      <c r="BJ13" s="37">
        <v>0</v>
      </c>
      <c r="BK13" s="37">
        <v>0</v>
      </c>
      <c r="BL13" s="37">
        <v>0</v>
      </c>
      <c r="BM13" s="37">
        <v>1</v>
      </c>
      <c r="BN13" s="37">
        <v>0</v>
      </c>
      <c r="BO13" s="37">
        <v>1</v>
      </c>
      <c r="BP13" s="37">
        <v>0</v>
      </c>
      <c r="BQ13" s="37">
        <v>0</v>
      </c>
      <c r="BR13" s="37">
        <v>0</v>
      </c>
      <c r="BS13" s="37">
        <v>0</v>
      </c>
      <c r="BT13" s="37">
        <v>0</v>
      </c>
      <c r="BU13" s="37">
        <v>1</v>
      </c>
      <c r="BV13" s="37">
        <v>0</v>
      </c>
      <c r="BW13" s="37">
        <v>0</v>
      </c>
      <c r="BX13" s="37">
        <v>1</v>
      </c>
      <c r="BY13" s="37">
        <v>0</v>
      </c>
      <c r="BZ13" s="37">
        <v>0</v>
      </c>
      <c r="CA13" s="37">
        <v>0</v>
      </c>
      <c r="CB13" s="37">
        <v>0</v>
      </c>
      <c r="CC13" s="37">
        <v>0</v>
      </c>
      <c r="CD13" s="37">
        <v>0</v>
      </c>
      <c r="CE13" s="37">
        <v>0</v>
      </c>
      <c r="CF13" s="37">
        <v>0</v>
      </c>
      <c r="CG13" s="37">
        <v>0</v>
      </c>
      <c r="CH13" s="37">
        <v>1</v>
      </c>
      <c r="CI13" s="37">
        <v>1</v>
      </c>
      <c r="CJ13" s="37">
        <v>0</v>
      </c>
      <c r="CK13" s="37">
        <v>0</v>
      </c>
      <c r="CL13" s="37">
        <v>0</v>
      </c>
      <c r="CM13" s="14" t="s">
        <v>221</v>
      </c>
      <c r="CN13" s="14">
        <v>44428</v>
      </c>
      <c r="CO13" s="53">
        <v>44797</v>
      </c>
      <c r="CP13" s="54">
        <f>_xlfn.DAYS(CO13,CN13)</f>
        <v>369</v>
      </c>
      <c r="CQ13" s="43" t="e">
        <f t="shared" si="0"/>
        <v>#VALUE!</v>
      </c>
      <c r="CR13" s="37" t="s">
        <v>184</v>
      </c>
      <c r="CS13" s="37" t="s">
        <v>184</v>
      </c>
      <c r="CT13" s="87">
        <v>1</v>
      </c>
      <c r="CU13" s="37">
        <v>0</v>
      </c>
      <c r="CV13" s="37">
        <v>0</v>
      </c>
      <c r="CW13" s="37">
        <v>0</v>
      </c>
      <c r="CX13" s="37">
        <v>0</v>
      </c>
      <c r="CY13" s="37">
        <v>0</v>
      </c>
      <c r="CZ13" s="37">
        <v>0</v>
      </c>
      <c r="DA13" s="37">
        <v>1</v>
      </c>
      <c r="DB13" s="37">
        <v>0</v>
      </c>
      <c r="DC13" s="37">
        <v>0</v>
      </c>
      <c r="DD13" s="38">
        <v>1</v>
      </c>
      <c r="DE13" s="37" t="s">
        <v>222</v>
      </c>
      <c r="DF13" s="38">
        <v>1</v>
      </c>
      <c r="DG13" s="38">
        <v>0</v>
      </c>
      <c r="DH13" s="38">
        <v>0</v>
      </c>
      <c r="DI13" s="38">
        <v>0</v>
      </c>
      <c r="DJ13" s="38">
        <v>0</v>
      </c>
      <c r="DK13" s="38">
        <v>0</v>
      </c>
      <c r="DL13" s="38">
        <v>0</v>
      </c>
      <c r="DM13" s="38">
        <v>0</v>
      </c>
      <c r="DN13" s="38">
        <v>0</v>
      </c>
      <c r="DO13" s="38">
        <v>0</v>
      </c>
      <c r="DP13" s="38">
        <v>0</v>
      </c>
      <c r="DQ13" s="38">
        <v>0</v>
      </c>
      <c r="DU13" s="38" t="s">
        <v>205</v>
      </c>
      <c r="DV13" s="38" t="s">
        <v>206</v>
      </c>
      <c r="DZ13" s="38">
        <v>4</v>
      </c>
      <c r="EA13" s="38">
        <v>3</v>
      </c>
      <c r="EB13" s="65" t="str">
        <f t="shared" si="3"/>
        <v>YES!</v>
      </c>
      <c r="EC13" s="109">
        <v>7030</v>
      </c>
      <c r="ED13" s="112" t="s">
        <v>223</v>
      </c>
      <c r="EE13" s="102">
        <v>1416.25</v>
      </c>
      <c r="EF13" s="100">
        <v>966.5</v>
      </c>
      <c r="EG13" s="100">
        <v>620.25</v>
      </c>
      <c r="EH13" s="100">
        <v>155.75</v>
      </c>
      <c r="EI13" s="100">
        <v>-24.25</v>
      </c>
      <c r="EJ13" s="100">
        <v>56.25</v>
      </c>
      <c r="EK13" s="100">
        <v>-7</v>
      </c>
      <c r="EL13" s="100">
        <v>589.25</v>
      </c>
      <c r="EM13" s="100">
        <v>1967</v>
      </c>
      <c r="EN13" s="101">
        <v>-11.75</v>
      </c>
      <c r="EO13" s="102">
        <v>194634.25</v>
      </c>
      <c r="EP13" s="100">
        <v>213084.75</v>
      </c>
      <c r="EQ13" s="100">
        <v>235449</v>
      </c>
      <c r="ER13" s="100">
        <v>134422.25</v>
      </c>
      <c r="ES13" s="100">
        <v>108.5</v>
      </c>
      <c r="ET13" s="100">
        <v>132.25</v>
      </c>
      <c r="EU13" s="100">
        <v>22784.25</v>
      </c>
      <c r="EV13" s="100">
        <v>187744</v>
      </c>
      <c r="EW13" s="100">
        <v>245384.75</v>
      </c>
      <c r="EX13" s="103">
        <v>150.25</v>
      </c>
    </row>
    <row r="14" spans="1:154" s="38" customFormat="1" ht="43.2" x14ac:dyDescent="0.3">
      <c r="A14" s="52">
        <v>7033</v>
      </c>
      <c r="B14" s="46"/>
      <c r="C14" s="40" t="s">
        <v>165</v>
      </c>
      <c r="D14" s="46">
        <v>34</v>
      </c>
      <c r="E14" s="40">
        <v>0</v>
      </c>
      <c r="F14" s="40">
        <v>0</v>
      </c>
      <c r="G14" s="46" t="s">
        <v>150</v>
      </c>
      <c r="H14" s="46" t="s">
        <v>216</v>
      </c>
      <c r="I14" s="40">
        <v>1.7</v>
      </c>
      <c r="J14" s="40">
        <v>71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73"/>
      <c r="AD14" s="38">
        <v>0</v>
      </c>
      <c r="AE14" s="38">
        <v>0</v>
      </c>
      <c r="AF14" s="38">
        <v>0</v>
      </c>
      <c r="AG14" s="38">
        <v>0</v>
      </c>
      <c r="AH14" s="38">
        <v>0</v>
      </c>
      <c r="AI14" s="38">
        <v>0</v>
      </c>
      <c r="AJ14" s="37" t="s">
        <v>224</v>
      </c>
      <c r="AK14" s="46">
        <v>10594980</v>
      </c>
      <c r="AL14" s="38" t="str">
        <f t="shared" si="1"/>
        <v>NO</v>
      </c>
      <c r="AM14" s="38">
        <v>0</v>
      </c>
      <c r="AN14" s="38">
        <v>0</v>
      </c>
      <c r="AO14" s="37">
        <v>0</v>
      </c>
      <c r="AP14" s="37">
        <v>0</v>
      </c>
      <c r="AQ14" s="37">
        <v>1</v>
      </c>
      <c r="AR14" s="37">
        <v>1</v>
      </c>
      <c r="AS14" s="37">
        <v>1</v>
      </c>
      <c r="AT14" s="37">
        <v>0</v>
      </c>
      <c r="AU14" s="37">
        <v>0</v>
      </c>
      <c r="AV14" s="37">
        <v>1</v>
      </c>
      <c r="AW14" s="37">
        <v>1</v>
      </c>
      <c r="AX14" s="37">
        <v>1</v>
      </c>
      <c r="AY14" s="37">
        <v>1</v>
      </c>
      <c r="AZ14" s="37">
        <v>1</v>
      </c>
      <c r="BA14" s="37">
        <v>1</v>
      </c>
      <c r="BB14" s="37">
        <v>0</v>
      </c>
      <c r="BC14" s="37">
        <v>0</v>
      </c>
      <c r="BD14" s="37">
        <v>0</v>
      </c>
      <c r="BE14" s="37">
        <v>0</v>
      </c>
      <c r="BF14" s="37">
        <v>0</v>
      </c>
      <c r="BG14" s="37">
        <v>0</v>
      </c>
      <c r="BH14" s="37">
        <v>0</v>
      </c>
      <c r="BI14" s="29">
        <v>0</v>
      </c>
      <c r="BJ14" s="37">
        <v>0</v>
      </c>
      <c r="BK14" s="37">
        <v>0</v>
      </c>
      <c r="BL14" s="37">
        <v>0</v>
      </c>
      <c r="BM14" s="37">
        <v>0</v>
      </c>
      <c r="BN14" s="37">
        <v>0</v>
      </c>
      <c r="BO14" s="37">
        <v>0</v>
      </c>
      <c r="BP14" s="37">
        <v>0</v>
      </c>
      <c r="BQ14" s="37">
        <v>0</v>
      </c>
      <c r="BR14" s="37">
        <v>0</v>
      </c>
      <c r="BS14" s="37">
        <v>0</v>
      </c>
      <c r="BT14" s="37">
        <v>0</v>
      </c>
      <c r="BU14" s="37">
        <v>1</v>
      </c>
      <c r="BV14" s="37">
        <v>0</v>
      </c>
      <c r="BW14" s="37">
        <v>1</v>
      </c>
      <c r="BX14" s="37">
        <v>0</v>
      </c>
      <c r="BY14" s="37">
        <v>0</v>
      </c>
      <c r="BZ14" s="37">
        <v>0</v>
      </c>
      <c r="CA14" s="37">
        <v>0</v>
      </c>
      <c r="CB14" s="37">
        <v>0</v>
      </c>
      <c r="CC14" s="37">
        <v>0</v>
      </c>
      <c r="CD14" s="37">
        <v>0</v>
      </c>
      <c r="CE14" s="37">
        <v>0</v>
      </c>
      <c r="CF14" s="37">
        <v>0</v>
      </c>
      <c r="CG14" s="37">
        <v>0</v>
      </c>
      <c r="CH14" s="37">
        <v>1</v>
      </c>
      <c r="CI14" s="37">
        <v>0</v>
      </c>
      <c r="CJ14" s="37">
        <v>0</v>
      </c>
      <c r="CK14" s="37">
        <v>0</v>
      </c>
      <c r="CL14" s="37">
        <v>0</v>
      </c>
      <c r="CM14" s="14" t="s">
        <v>225</v>
      </c>
      <c r="CN14" s="14">
        <v>44013</v>
      </c>
      <c r="CO14" s="53">
        <v>44804</v>
      </c>
      <c r="CP14" s="54">
        <f t="shared" si="4"/>
        <v>791</v>
      </c>
      <c r="CQ14" s="43">
        <f t="shared" si="0"/>
        <v>456</v>
      </c>
      <c r="CR14" s="55">
        <v>44348</v>
      </c>
      <c r="CS14" s="37" t="s">
        <v>226</v>
      </c>
      <c r="CT14" s="87">
        <v>1</v>
      </c>
      <c r="CU14" s="37">
        <v>0</v>
      </c>
      <c r="CV14" s="37">
        <v>1</v>
      </c>
      <c r="CW14" s="37" t="s">
        <v>227</v>
      </c>
      <c r="CX14" s="37">
        <v>0</v>
      </c>
      <c r="CY14" s="37">
        <v>1</v>
      </c>
      <c r="CZ14" s="37">
        <v>0</v>
      </c>
      <c r="DA14" s="37">
        <v>0</v>
      </c>
      <c r="DB14" s="37">
        <v>0</v>
      </c>
      <c r="DC14" s="37">
        <v>0</v>
      </c>
      <c r="DD14" s="38">
        <v>0</v>
      </c>
      <c r="DE14" s="37"/>
      <c r="DF14" s="38">
        <v>1</v>
      </c>
      <c r="DG14" s="38">
        <v>0</v>
      </c>
      <c r="DH14" s="38">
        <v>0</v>
      </c>
      <c r="DI14" s="38">
        <v>0</v>
      </c>
      <c r="DJ14" s="38">
        <v>0</v>
      </c>
      <c r="DK14" s="38">
        <v>0</v>
      </c>
      <c r="DL14" s="38">
        <v>0</v>
      </c>
      <c r="DM14" s="38">
        <v>0</v>
      </c>
      <c r="DN14" s="38">
        <v>0</v>
      </c>
      <c r="DO14" s="38">
        <v>0</v>
      </c>
      <c r="DP14" s="38">
        <v>0</v>
      </c>
      <c r="DQ14" s="38">
        <v>0</v>
      </c>
      <c r="DU14" s="38" t="s">
        <v>205</v>
      </c>
      <c r="DZ14" s="38">
        <v>1</v>
      </c>
      <c r="EA14" s="38">
        <v>1</v>
      </c>
      <c r="EB14" s="65" t="str">
        <f t="shared" si="3"/>
        <v>YES!</v>
      </c>
      <c r="EC14" s="109">
        <v>7033</v>
      </c>
      <c r="ED14" s="112" t="s">
        <v>228</v>
      </c>
      <c r="EE14" s="102">
        <v>125.5</v>
      </c>
      <c r="EF14" s="100">
        <v>84.25</v>
      </c>
      <c r="EG14" s="100">
        <v>76.5</v>
      </c>
      <c r="EH14" s="100">
        <v>-10.75</v>
      </c>
      <c r="EI14" s="100">
        <v>52.25</v>
      </c>
      <c r="EJ14" s="100">
        <v>46.75</v>
      </c>
      <c r="EK14" s="100">
        <v>184</v>
      </c>
      <c r="EL14" s="100">
        <v>13</v>
      </c>
      <c r="EM14" s="100">
        <v>2.75</v>
      </c>
      <c r="EN14" s="101">
        <v>64.75</v>
      </c>
      <c r="EO14" s="102">
        <v>89721</v>
      </c>
      <c r="EP14" s="100">
        <v>71318</v>
      </c>
      <c r="EQ14" s="100">
        <v>69896.75</v>
      </c>
      <c r="ER14" s="100">
        <v>451.75</v>
      </c>
      <c r="ES14" s="100">
        <v>55780.5</v>
      </c>
      <c r="ET14" s="100">
        <v>36485.75</v>
      </c>
      <c r="EU14" s="100">
        <v>219376.25</v>
      </c>
      <c r="EV14" s="100">
        <v>16728.75</v>
      </c>
      <c r="EW14" s="100">
        <v>5152.75</v>
      </c>
      <c r="EX14" s="103">
        <v>101877</v>
      </c>
    </row>
    <row r="15" spans="1:154" s="38" customFormat="1" ht="43.2" x14ac:dyDescent="0.3">
      <c r="A15" s="52">
        <v>7034</v>
      </c>
      <c r="B15" s="46"/>
      <c r="C15" s="40" t="s">
        <v>149</v>
      </c>
      <c r="D15" s="46">
        <v>45</v>
      </c>
      <c r="E15" s="40">
        <v>1</v>
      </c>
      <c r="F15" s="40" t="s">
        <v>229</v>
      </c>
      <c r="G15" s="46" t="s">
        <v>150</v>
      </c>
      <c r="H15" s="46" t="s">
        <v>216</v>
      </c>
      <c r="I15" s="40">
        <v>1.8</v>
      </c>
      <c r="J15" s="40">
        <v>77</v>
      </c>
      <c r="K15" s="38">
        <v>0</v>
      </c>
      <c r="L15" s="38">
        <v>0</v>
      </c>
      <c r="M15" s="38">
        <v>0</v>
      </c>
      <c r="N15" s="38">
        <v>0</v>
      </c>
      <c r="O15" s="38">
        <v>1</v>
      </c>
      <c r="P15" s="38">
        <v>0</v>
      </c>
      <c r="Q15" s="38">
        <v>0</v>
      </c>
      <c r="R15" s="38">
        <v>0</v>
      </c>
      <c r="S15" s="38">
        <v>0</v>
      </c>
      <c r="T15" s="38">
        <v>0</v>
      </c>
      <c r="U15" s="38">
        <v>0</v>
      </c>
      <c r="V15" s="38">
        <v>0</v>
      </c>
      <c r="W15" s="38">
        <v>0</v>
      </c>
      <c r="X15" s="38">
        <v>0</v>
      </c>
      <c r="Y15" s="38">
        <v>0</v>
      </c>
      <c r="Z15" s="38">
        <v>0</v>
      </c>
      <c r="AA15" s="38">
        <v>0</v>
      </c>
      <c r="AB15" s="38">
        <v>1</v>
      </c>
      <c r="AC15" s="70" t="s">
        <v>230</v>
      </c>
      <c r="AD15" s="38">
        <v>0</v>
      </c>
      <c r="AE15" s="38">
        <v>0</v>
      </c>
      <c r="AF15" s="38">
        <v>0</v>
      </c>
      <c r="AG15" s="38">
        <v>0</v>
      </c>
      <c r="AH15" s="38">
        <v>0</v>
      </c>
      <c r="AI15" s="38">
        <v>0</v>
      </c>
      <c r="AJ15" s="37" t="s">
        <v>231</v>
      </c>
      <c r="AK15" s="46">
        <v>16149593</v>
      </c>
      <c r="AL15" s="38" t="str">
        <f t="shared" si="1"/>
        <v>NO</v>
      </c>
      <c r="AM15" s="38">
        <v>0</v>
      </c>
      <c r="AN15" s="38">
        <v>0</v>
      </c>
      <c r="AO15" s="37">
        <v>1</v>
      </c>
      <c r="AP15" s="37">
        <v>0</v>
      </c>
      <c r="AQ15" s="37">
        <v>1</v>
      </c>
      <c r="AR15" s="37">
        <v>1</v>
      </c>
      <c r="AS15" s="37">
        <v>1</v>
      </c>
      <c r="AT15" s="37">
        <v>1</v>
      </c>
      <c r="AU15" s="37">
        <v>0</v>
      </c>
      <c r="AV15" s="37">
        <v>0</v>
      </c>
      <c r="AW15" s="37">
        <v>0</v>
      </c>
      <c r="AX15" s="37">
        <v>1</v>
      </c>
      <c r="AY15" s="37">
        <v>0</v>
      </c>
      <c r="AZ15" s="37">
        <v>1</v>
      </c>
      <c r="BA15" s="37">
        <v>1</v>
      </c>
      <c r="BB15" s="37">
        <v>1</v>
      </c>
      <c r="BC15" s="37">
        <v>1</v>
      </c>
      <c r="BD15" s="37">
        <v>0</v>
      </c>
      <c r="BE15" s="37">
        <v>0</v>
      </c>
      <c r="BF15" s="37">
        <v>1</v>
      </c>
      <c r="BG15" s="37">
        <v>1</v>
      </c>
      <c r="BH15" s="37">
        <v>0</v>
      </c>
      <c r="BI15" s="37">
        <v>1</v>
      </c>
      <c r="BJ15" s="37">
        <v>0</v>
      </c>
      <c r="BK15" s="37">
        <v>0</v>
      </c>
      <c r="BL15" s="37">
        <v>0</v>
      </c>
      <c r="BM15" s="37">
        <v>1</v>
      </c>
      <c r="BN15" s="37">
        <v>0</v>
      </c>
      <c r="BO15" s="37">
        <v>0</v>
      </c>
      <c r="BP15" s="37">
        <v>0</v>
      </c>
      <c r="BQ15" s="37">
        <v>0</v>
      </c>
      <c r="BR15" s="37">
        <v>1</v>
      </c>
      <c r="BS15" s="37">
        <v>0</v>
      </c>
      <c r="BT15" s="37">
        <v>0</v>
      </c>
      <c r="BU15" s="37">
        <v>1</v>
      </c>
      <c r="BV15" s="37">
        <v>0</v>
      </c>
      <c r="BW15" s="37">
        <v>1</v>
      </c>
      <c r="BX15" s="37">
        <v>0</v>
      </c>
      <c r="BY15" s="37">
        <v>1</v>
      </c>
      <c r="BZ15" s="37">
        <v>0</v>
      </c>
      <c r="CA15" s="37">
        <v>0</v>
      </c>
      <c r="CB15" s="37">
        <v>1</v>
      </c>
      <c r="CC15" s="37">
        <v>0</v>
      </c>
      <c r="CD15" s="37">
        <v>0</v>
      </c>
      <c r="CE15" s="37">
        <v>0</v>
      </c>
      <c r="CF15" s="37">
        <v>0</v>
      </c>
      <c r="CG15" s="37">
        <v>1</v>
      </c>
      <c r="CH15" s="37">
        <v>1</v>
      </c>
      <c r="CI15" s="37">
        <v>0</v>
      </c>
      <c r="CJ15" s="37">
        <v>0</v>
      </c>
      <c r="CK15" s="37">
        <v>0</v>
      </c>
      <c r="CL15" s="37">
        <v>0</v>
      </c>
      <c r="CM15" s="14" t="s">
        <v>232</v>
      </c>
      <c r="CN15" s="14">
        <v>44740</v>
      </c>
      <c r="CO15" s="53">
        <v>44804</v>
      </c>
      <c r="CP15" s="54">
        <f t="shared" si="4"/>
        <v>64</v>
      </c>
      <c r="CQ15" s="43" t="e">
        <f t="shared" si="0"/>
        <v>#VALUE!</v>
      </c>
      <c r="CR15" s="37" t="s">
        <v>184</v>
      </c>
      <c r="CS15" s="37" t="s">
        <v>184</v>
      </c>
      <c r="CT15" s="87" t="s">
        <v>184</v>
      </c>
      <c r="CU15" s="37">
        <v>0</v>
      </c>
      <c r="CV15" s="37">
        <v>1</v>
      </c>
      <c r="CW15" s="37" t="s">
        <v>233</v>
      </c>
      <c r="CX15" s="37">
        <v>0</v>
      </c>
      <c r="CY15" s="37">
        <v>0</v>
      </c>
      <c r="CZ15" s="37">
        <v>0</v>
      </c>
      <c r="DA15" s="37">
        <v>0</v>
      </c>
      <c r="DB15" s="37">
        <v>0</v>
      </c>
      <c r="DC15" s="37">
        <v>0</v>
      </c>
      <c r="DD15" s="38">
        <v>0</v>
      </c>
      <c r="DE15" s="37" t="s">
        <v>234</v>
      </c>
      <c r="DF15" s="38">
        <v>1</v>
      </c>
      <c r="DG15" s="38">
        <v>0</v>
      </c>
      <c r="DH15" s="38">
        <v>0</v>
      </c>
      <c r="DI15" s="38">
        <v>0</v>
      </c>
      <c r="DJ15" s="38">
        <v>1</v>
      </c>
      <c r="DK15" s="38">
        <v>0</v>
      </c>
      <c r="DL15" s="38">
        <v>0</v>
      </c>
      <c r="DM15" s="38">
        <v>0</v>
      </c>
      <c r="DN15" s="38">
        <v>0</v>
      </c>
      <c r="DO15" s="38">
        <v>0</v>
      </c>
      <c r="DP15" s="38">
        <v>0</v>
      </c>
      <c r="DQ15" s="38">
        <v>0</v>
      </c>
      <c r="DU15" s="38" t="s">
        <v>205</v>
      </c>
      <c r="DV15" s="38" t="s">
        <v>206</v>
      </c>
      <c r="DZ15" s="38">
        <v>7</v>
      </c>
      <c r="EA15" s="38">
        <v>3</v>
      </c>
      <c r="EB15" s="65" t="str">
        <f t="shared" si="3"/>
        <v>YES!</v>
      </c>
      <c r="EC15" s="109">
        <v>7034</v>
      </c>
      <c r="ED15" s="112" t="s">
        <v>235</v>
      </c>
      <c r="EE15" s="102">
        <v>1475.25</v>
      </c>
      <c r="EF15" s="100">
        <v>896.5</v>
      </c>
      <c r="EG15" s="100">
        <v>245.5</v>
      </c>
      <c r="EH15" s="100">
        <v>155.5</v>
      </c>
      <c r="EI15" s="100">
        <v>-33.75</v>
      </c>
      <c r="EJ15" s="100">
        <v>60.25</v>
      </c>
      <c r="EK15" s="100">
        <v>107.75</v>
      </c>
      <c r="EL15" s="100">
        <v>527.5</v>
      </c>
      <c r="EM15" s="100">
        <v>140.75</v>
      </c>
      <c r="EN15" s="101">
        <v>5.5</v>
      </c>
      <c r="EO15" s="102">
        <v>191514</v>
      </c>
      <c r="EP15" s="100">
        <v>226807</v>
      </c>
      <c r="EQ15" s="100">
        <v>198293.75</v>
      </c>
      <c r="ER15" s="100">
        <v>157220</v>
      </c>
      <c r="ES15" s="100">
        <v>80.75</v>
      </c>
      <c r="ET15" s="100">
        <v>634</v>
      </c>
      <c r="EU15" s="100">
        <v>199925</v>
      </c>
      <c r="EV15" s="100">
        <v>185866.75</v>
      </c>
      <c r="EW15" s="100">
        <v>81829.5</v>
      </c>
      <c r="EX15" s="103">
        <v>33432</v>
      </c>
    </row>
    <row r="16" spans="1:154" s="38" customFormat="1" ht="69" x14ac:dyDescent="0.3">
      <c r="A16" s="52">
        <v>7032</v>
      </c>
      <c r="B16" s="46"/>
      <c r="C16" s="40" t="s">
        <v>149</v>
      </c>
      <c r="D16" s="46">
        <v>31</v>
      </c>
      <c r="E16" s="40">
        <v>0</v>
      </c>
      <c r="F16" s="40">
        <v>0</v>
      </c>
      <c r="G16" s="46" t="s">
        <v>150</v>
      </c>
      <c r="H16" s="46" t="s">
        <v>216</v>
      </c>
      <c r="I16" s="40">
        <v>1.7</v>
      </c>
      <c r="J16" s="40">
        <v>115</v>
      </c>
      <c r="K16" s="38">
        <v>0</v>
      </c>
      <c r="L16" s="38">
        <v>1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38">
        <v>0</v>
      </c>
      <c r="T16" s="38">
        <v>0</v>
      </c>
      <c r="U16" s="38">
        <v>1</v>
      </c>
      <c r="V16" s="38">
        <v>0</v>
      </c>
      <c r="W16" s="38">
        <v>0</v>
      </c>
      <c r="X16" s="38">
        <v>0</v>
      </c>
      <c r="Y16" s="38">
        <v>1</v>
      </c>
      <c r="Z16" s="38">
        <v>0</v>
      </c>
      <c r="AA16" s="38">
        <v>0</v>
      </c>
      <c r="AB16" s="38">
        <v>0</v>
      </c>
      <c r="AC16" s="70" t="s">
        <v>236</v>
      </c>
      <c r="AD16" s="38">
        <v>0</v>
      </c>
      <c r="AE16" s="38">
        <v>0</v>
      </c>
      <c r="AF16" s="38">
        <v>1</v>
      </c>
      <c r="AG16" s="38">
        <v>0</v>
      </c>
      <c r="AH16" s="38">
        <v>0</v>
      </c>
      <c r="AI16" s="38">
        <v>0</v>
      </c>
      <c r="AJ16" s="37" t="s">
        <v>237</v>
      </c>
      <c r="AK16" s="46">
        <v>53379864</v>
      </c>
      <c r="AL16" s="38" t="str">
        <f t="shared" si="1"/>
        <v>NO</v>
      </c>
      <c r="AM16" s="38">
        <v>0</v>
      </c>
      <c r="AN16" s="38">
        <v>0</v>
      </c>
      <c r="AO16" s="37">
        <v>1</v>
      </c>
      <c r="AP16" s="37">
        <v>0</v>
      </c>
      <c r="AQ16" s="37">
        <v>1</v>
      </c>
      <c r="AR16" s="37">
        <v>1</v>
      </c>
      <c r="AS16" s="37">
        <v>1</v>
      </c>
      <c r="AT16" s="37">
        <v>0</v>
      </c>
      <c r="AU16" s="37">
        <v>0</v>
      </c>
      <c r="AV16" s="37">
        <v>1</v>
      </c>
      <c r="AW16" s="37">
        <v>0</v>
      </c>
      <c r="AX16" s="37">
        <v>1</v>
      </c>
      <c r="AY16" s="37">
        <v>0</v>
      </c>
      <c r="AZ16" s="37">
        <v>1</v>
      </c>
      <c r="BA16" s="37">
        <v>1</v>
      </c>
      <c r="BB16" s="37">
        <v>1</v>
      </c>
      <c r="BC16" s="37">
        <v>0</v>
      </c>
      <c r="BD16" s="37">
        <v>0</v>
      </c>
      <c r="BE16" s="37">
        <v>0</v>
      </c>
      <c r="BF16" s="37">
        <v>0</v>
      </c>
      <c r="BG16" s="37">
        <v>1</v>
      </c>
      <c r="BH16" s="37">
        <v>0</v>
      </c>
      <c r="BI16" s="37">
        <v>0</v>
      </c>
      <c r="BJ16" s="37">
        <v>0</v>
      </c>
      <c r="BK16" s="37">
        <v>0</v>
      </c>
      <c r="BL16" s="37">
        <v>1</v>
      </c>
      <c r="BM16" s="37">
        <v>1</v>
      </c>
      <c r="BN16" s="37">
        <v>0</v>
      </c>
      <c r="BO16" s="37">
        <v>0</v>
      </c>
      <c r="BP16" s="37">
        <v>0</v>
      </c>
      <c r="BQ16" s="37">
        <v>0</v>
      </c>
      <c r="BR16" s="37">
        <v>1</v>
      </c>
      <c r="BS16" s="37">
        <v>0</v>
      </c>
      <c r="BT16" s="37">
        <v>0</v>
      </c>
      <c r="BU16" s="37">
        <v>0</v>
      </c>
      <c r="BV16" s="37">
        <v>0</v>
      </c>
      <c r="BW16" s="37">
        <v>1</v>
      </c>
      <c r="BX16" s="37">
        <v>1</v>
      </c>
      <c r="BY16" s="37">
        <v>1</v>
      </c>
      <c r="BZ16" s="37">
        <v>0</v>
      </c>
      <c r="CA16" s="37">
        <v>0</v>
      </c>
      <c r="CB16" s="37">
        <v>0</v>
      </c>
      <c r="CC16" s="37">
        <v>1</v>
      </c>
      <c r="CD16" s="37">
        <v>0</v>
      </c>
      <c r="CE16" s="37">
        <v>1</v>
      </c>
      <c r="CF16" s="37">
        <v>1</v>
      </c>
      <c r="CG16" s="37">
        <v>0</v>
      </c>
      <c r="CH16" s="37">
        <v>0</v>
      </c>
      <c r="CI16" s="37">
        <v>0</v>
      </c>
      <c r="CJ16" s="37">
        <v>0</v>
      </c>
      <c r="CK16" s="37">
        <v>0</v>
      </c>
      <c r="CL16" s="37">
        <v>0</v>
      </c>
      <c r="CM16" s="14">
        <v>44027</v>
      </c>
      <c r="CN16" s="14">
        <v>44027</v>
      </c>
      <c r="CO16" s="53">
        <v>44804</v>
      </c>
      <c r="CP16" s="54">
        <f t="shared" si="4"/>
        <v>777</v>
      </c>
      <c r="CQ16" s="43" t="e">
        <f t="shared" si="0"/>
        <v>#VALUE!</v>
      </c>
      <c r="CR16" s="48" t="s">
        <v>184</v>
      </c>
      <c r="CS16" s="37" t="s">
        <v>238</v>
      </c>
      <c r="CT16" s="87">
        <v>2</v>
      </c>
      <c r="CU16" s="37">
        <v>1</v>
      </c>
      <c r="CV16" s="37">
        <v>1</v>
      </c>
      <c r="CW16" s="37" t="s">
        <v>239</v>
      </c>
      <c r="CX16" s="37">
        <v>1</v>
      </c>
      <c r="CY16" s="37">
        <v>1</v>
      </c>
      <c r="CZ16" s="37">
        <v>0</v>
      </c>
      <c r="DA16" s="37">
        <v>1</v>
      </c>
      <c r="DB16" s="37">
        <v>0</v>
      </c>
      <c r="DC16" s="37">
        <v>0</v>
      </c>
      <c r="DD16" s="38">
        <v>0</v>
      </c>
      <c r="DE16" s="37"/>
      <c r="DF16" s="38">
        <v>1</v>
      </c>
      <c r="DG16" s="38">
        <v>0</v>
      </c>
      <c r="DH16" s="38">
        <v>0</v>
      </c>
      <c r="DI16" s="38">
        <v>1</v>
      </c>
      <c r="DJ16" s="38">
        <v>1</v>
      </c>
      <c r="DK16" s="38">
        <v>0</v>
      </c>
      <c r="DL16" s="38">
        <v>0</v>
      </c>
      <c r="DM16" s="38">
        <v>0</v>
      </c>
      <c r="DN16" s="38">
        <v>0</v>
      </c>
      <c r="DO16" s="38">
        <v>0</v>
      </c>
      <c r="DP16" s="38">
        <v>0</v>
      </c>
      <c r="DQ16" s="38">
        <v>0</v>
      </c>
      <c r="DU16" s="38" t="s">
        <v>205</v>
      </c>
      <c r="DV16" s="38" t="s">
        <v>206</v>
      </c>
      <c r="DZ16" s="38">
        <v>3</v>
      </c>
      <c r="EA16" s="38">
        <v>2</v>
      </c>
      <c r="EB16" s="65" t="str">
        <f t="shared" si="3"/>
        <v>YES!</v>
      </c>
      <c r="EC16" s="109">
        <v>7032</v>
      </c>
      <c r="ED16" s="112" t="s">
        <v>240</v>
      </c>
      <c r="EE16" s="102">
        <v>815.75</v>
      </c>
      <c r="EF16" s="100">
        <v>567</v>
      </c>
      <c r="EG16" s="100">
        <v>579</v>
      </c>
      <c r="EH16" s="100">
        <v>3</v>
      </c>
      <c r="EI16" s="100">
        <v>151.5</v>
      </c>
      <c r="EJ16" s="100">
        <v>327.25</v>
      </c>
      <c r="EK16" s="100">
        <v>10</v>
      </c>
      <c r="EL16" s="100">
        <v>373</v>
      </c>
      <c r="EM16" s="100">
        <v>110.25</v>
      </c>
      <c r="EN16" s="101">
        <v>16.75</v>
      </c>
      <c r="EO16" s="102">
        <v>222582.25</v>
      </c>
      <c r="EP16" s="100">
        <v>186373.25</v>
      </c>
      <c r="EQ16" s="100">
        <v>198345</v>
      </c>
      <c r="ER16" s="100">
        <v>24216.75</v>
      </c>
      <c r="ES16" s="100">
        <v>113532.75</v>
      </c>
      <c r="ET16" s="100">
        <v>80674.75</v>
      </c>
      <c r="EU16" s="100">
        <v>35615.75</v>
      </c>
      <c r="EV16" s="100">
        <v>56992.75</v>
      </c>
      <c r="EW16" s="100">
        <v>24934.5</v>
      </c>
      <c r="EX16" s="103">
        <v>117.5</v>
      </c>
    </row>
    <row r="17" spans="1:154" s="38" customFormat="1" ht="82.8" x14ac:dyDescent="0.3">
      <c r="A17" s="52">
        <v>7053</v>
      </c>
      <c r="B17" s="46"/>
      <c r="C17" s="40" t="s">
        <v>149</v>
      </c>
      <c r="D17" s="82">
        <v>50</v>
      </c>
      <c r="E17" s="40">
        <v>0</v>
      </c>
      <c r="F17" s="40">
        <v>0</v>
      </c>
      <c r="G17" s="46" t="s">
        <v>150</v>
      </c>
      <c r="H17" s="46" t="s">
        <v>216</v>
      </c>
      <c r="I17" s="40">
        <v>1.6</v>
      </c>
      <c r="J17" s="40">
        <v>73.599999999999994</v>
      </c>
      <c r="K17" s="38">
        <v>0</v>
      </c>
      <c r="L17" s="38">
        <v>0</v>
      </c>
      <c r="M17" s="38">
        <v>0</v>
      </c>
      <c r="N17" s="38">
        <v>0</v>
      </c>
      <c r="O17" s="38">
        <v>1</v>
      </c>
      <c r="P17" s="38">
        <v>0</v>
      </c>
      <c r="Q17" s="38">
        <v>0</v>
      </c>
      <c r="R17" s="38">
        <v>0</v>
      </c>
      <c r="S17" s="38">
        <v>0</v>
      </c>
      <c r="T17" s="38">
        <v>1</v>
      </c>
      <c r="U17" s="38">
        <v>1</v>
      </c>
      <c r="V17" s="38">
        <v>0</v>
      </c>
      <c r="W17" s="38">
        <v>0</v>
      </c>
      <c r="X17" s="38">
        <v>1</v>
      </c>
      <c r="Y17" s="38">
        <v>1</v>
      </c>
      <c r="Z17" s="38">
        <v>0</v>
      </c>
      <c r="AA17" s="38">
        <v>0</v>
      </c>
      <c r="AB17" s="38">
        <v>0</v>
      </c>
      <c r="AC17" s="74" t="s">
        <v>241</v>
      </c>
      <c r="AD17" s="38">
        <v>0</v>
      </c>
      <c r="AE17" s="38">
        <v>0</v>
      </c>
      <c r="AF17" s="38">
        <v>0</v>
      </c>
      <c r="AG17" s="38">
        <v>1</v>
      </c>
      <c r="AH17" s="38">
        <v>0</v>
      </c>
      <c r="AI17" s="38">
        <v>0</v>
      </c>
      <c r="AJ17" s="37" t="s">
        <v>242</v>
      </c>
      <c r="AK17" s="46">
        <v>99778276</v>
      </c>
      <c r="AL17" s="38" t="str">
        <f t="shared" si="1"/>
        <v>NO</v>
      </c>
      <c r="AM17" s="38">
        <v>0</v>
      </c>
      <c r="AN17" s="38">
        <v>0</v>
      </c>
      <c r="AO17" s="37">
        <v>1</v>
      </c>
      <c r="AP17" s="37">
        <v>1</v>
      </c>
      <c r="AQ17" s="37">
        <v>1</v>
      </c>
      <c r="AR17" s="37">
        <v>1</v>
      </c>
      <c r="AS17" s="37">
        <v>1</v>
      </c>
      <c r="AT17" s="37">
        <v>1</v>
      </c>
      <c r="AU17" s="37">
        <v>1</v>
      </c>
      <c r="AV17" s="37">
        <v>1</v>
      </c>
      <c r="AW17" s="37">
        <v>0</v>
      </c>
      <c r="AX17" s="37">
        <v>1</v>
      </c>
      <c r="AY17" s="37">
        <v>1</v>
      </c>
      <c r="AZ17" s="37">
        <v>1</v>
      </c>
      <c r="BA17" s="37">
        <v>1</v>
      </c>
      <c r="BB17" s="37">
        <v>1</v>
      </c>
      <c r="BC17" s="37">
        <v>1</v>
      </c>
      <c r="BD17" s="37">
        <v>0</v>
      </c>
      <c r="BE17" s="37">
        <v>0</v>
      </c>
      <c r="BF17" s="37">
        <v>0</v>
      </c>
      <c r="BG17" s="37">
        <v>0</v>
      </c>
      <c r="BH17" s="37">
        <v>0</v>
      </c>
      <c r="BI17" s="37">
        <v>1</v>
      </c>
      <c r="BJ17" s="37">
        <v>0</v>
      </c>
      <c r="BK17" s="37">
        <v>0</v>
      </c>
      <c r="BL17" s="37">
        <v>0</v>
      </c>
      <c r="BM17" s="37">
        <v>0</v>
      </c>
      <c r="BN17" s="37">
        <v>1</v>
      </c>
      <c r="BO17" s="37">
        <v>1</v>
      </c>
      <c r="BP17" s="37">
        <v>1</v>
      </c>
      <c r="BQ17" s="37">
        <v>1</v>
      </c>
      <c r="BR17" s="37">
        <v>1</v>
      </c>
      <c r="BS17" s="37">
        <v>0</v>
      </c>
      <c r="BT17" s="37">
        <v>0</v>
      </c>
      <c r="BU17" s="37">
        <v>1</v>
      </c>
      <c r="BV17" s="37">
        <v>0</v>
      </c>
      <c r="BW17" s="37">
        <v>0</v>
      </c>
      <c r="BX17" s="37">
        <v>0</v>
      </c>
      <c r="BY17" s="37">
        <v>0</v>
      </c>
      <c r="BZ17" s="37">
        <v>0</v>
      </c>
      <c r="CA17" s="37">
        <v>0</v>
      </c>
      <c r="CB17" s="37">
        <v>0</v>
      </c>
      <c r="CC17" s="37">
        <v>0</v>
      </c>
      <c r="CD17" s="37">
        <v>0</v>
      </c>
      <c r="CE17" s="37">
        <v>0</v>
      </c>
      <c r="CF17" s="37">
        <v>0</v>
      </c>
      <c r="CG17" s="37">
        <v>0</v>
      </c>
      <c r="CH17" s="37">
        <v>1</v>
      </c>
      <c r="CI17" s="37">
        <v>1</v>
      </c>
      <c r="CJ17" s="37">
        <v>0</v>
      </c>
      <c r="CK17" s="37">
        <v>0</v>
      </c>
      <c r="CL17" s="37">
        <v>0</v>
      </c>
      <c r="CM17" s="14">
        <v>44136</v>
      </c>
      <c r="CN17" s="14">
        <v>44136</v>
      </c>
      <c r="CO17" s="53">
        <v>44832</v>
      </c>
      <c r="CP17" s="54">
        <f t="shared" si="4"/>
        <v>696</v>
      </c>
      <c r="CQ17" s="43">
        <f t="shared" si="0"/>
        <v>309</v>
      </c>
      <c r="CR17" s="48">
        <v>44523</v>
      </c>
      <c r="CS17" s="48">
        <v>44523</v>
      </c>
      <c r="CT17" s="87">
        <v>1</v>
      </c>
      <c r="CU17" s="37">
        <v>1</v>
      </c>
      <c r="CV17" s="37">
        <v>1</v>
      </c>
      <c r="CW17" s="37" t="s">
        <v>243</v>
      </c>
      <c r="CX17" s="37">
        <v>0</v>
      </c>
      <c r="CY17" s="37">
        <v>0</v>
      </c>
      <c r="CZ17" s="37">
        <v>0</v>
      </c>
      <c r="DA17" s="37">
        <v>1</v>
      </c>
      <c r="DB17" s="37">
        <v>0</v>
      </c>
      <c r="DC17" s="37">
        <v>0</v>
      </c>
      <c r="DD17" s="38">
        <v>0</v>
      </c>
      <c r="DE17" s="37"/>
      <c r="DF17" s="38">
        <v>1</v>
      </c>
      <c r="DG17" s="38">
        <v>0</v>
      </c>
      <c r="DH17" s="38">
        <v>1</v>
      </c>
      <c r="DI17" s="38">
        <v>0</v>
      </c>
      <c r="DJ17" s="38">
        <v>1</v>
      </c>
      <c r="DK17" s="38">
        <v>0</v>
      </c>
      <c r="DL17" s="38">
        <v>0</v>
      </c>
      <c r="DM17" s="38">
        <v>0</v>
      </c>
      <c r="DN17" s="38">
        <v>0</v>
      </c>
      <c r="DO17" s="38">
        <v>1</v>
      </c>
      <c r="DP17" s="38">
        <v>0</v>
      </c>
      <c r="DQ17" s="38">
        <v>0</v>
      </c>
      <c r="DU17" s="38" t="s">
        <v>205</v>
      </c>
      <c r="DV17" s="38" t="s">
        <v>206</v>
      </c>
      <c r="DZ17" s="38">
        <v>2</v>
      </c>
      <c r="EA17" s="38">
        <v>4</v>
      </c>
      <c r="EB17" s="65" t="str">
        <f t="shared" si="3"/>
        <v>YES!</v>
      </c>
      <c r="EC17" s="109">
        <v>7053</v>
      </c>
      <c r="ED17" s="112" t="s">
        <v>244</v>
      </c>
      <c r="EE17" s="102">
        <v>985</v>
      </c>
      <c r="EF17" s="100">
        <v>989</v>
      </c>
      <c r="EG17" s="100">
        <v>3112.25</v>
      </c>
      <c r="EH17" s="100">
        <v>50</v>
      </c>
      <c r="EI17" s="100">
        <v>-18.25</v>
      </c>
      <c r="EJ17" s="100">
        <v>38.5</v>
      </c>
      <c r="EK17" s="100">
        <v>1236.5</v>
      </c>
      <c r="EL17" s="100">
        <v>3190</v>
      </c>
      <c r="EM17" s="100">
        <v>6949</v>
      </c>
      <c r="EN17" s="101">
        <v>17.75</v>
      </c>
      <c r="EO17" s="102">
        <v>194219.75</v>
      </c>
      <c r="EP17" s="100">
        <v>196038.75</v>
      </c>
      <c r="EQ17" s="100">
        <v>240821</v>
      </c>
      <c r="ER17" s="100">
        <v>14998.25</v>
      </c>
      <c r="ES17" s="100">
        <v>186.5</v>
      </c>
      <c r="ET17" s="100">
        <v>305.75</v>
      </c>
      <c r="EU17" s="100">
        <v>218797.75</v>
      </c>
      <c r="EV17" s="100">
        <v>167260.5</v>
      </c>
      <c r="EW17" s="100">
        <v>205853.5</v>
      </c>
      <c r="EX17" s="103">
        <v>236.25</v>
      </c>
    </row>
    <row r="18" spans="1:154" s="38" customFormat="1" ht="43.2" x14ac:dyDescent="0.3">
      <c r="A18" s="52">
        <v>7069</v>
      </c>
      <c r="B18" s="46"/>
      <c r="C18" s="1" t="s">
        <v>149</v>
      </c>
      <c r="D18" s="40">
        <v>53</v>
      </c>
      <c r="E18" s="40">
        <v>1</v>
      </c>
      <c r="F18" s="40" t="s">
        <v>245</v>
      </c>
      <c r="G18" s="46" t="s">
        <v>150</v>
      </c>
      <c r="H18" s="46" t="s">
        <v>151</v>
      </c>
      <c r="I18" s="40">
        <v>1.6</v>
      </c>
      <c r="J18" s="40">
        <v>67.900000000000006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>
        <v>1</v>
      </c>
      <c r="V18" s="38">
        <v>0</v>
      </c>
      <c r="W18" s="38">
        <v>0</v>
      </c>
      <c r="X18" s="38">
        <v>1</v>
      </c>
      <c r="Y18" s="38">
        <v>0</v>
      </c>
      <c r="Z18" s="38">
        <v>0</v>
      </c>
      <c r="AA18" s="38">
        <v>0</v>
      </c>
      <c r="AB18" s="38">
        <v>0</v>
      </c>
      <c r="AC18" s="70" t="s">
        <v>246</v>
      </c>
      <c r="AD18" s="38">
        <v>0</v>
      </c>
      <c r="AE18" s="38">
        <v>0</v>
      </c>
      <c r="AF18" s="38">
        <v>1</v>
      </c>
      <c r="AG18" s="38">
        <v>0</v>
      </c>
      <c r="AH18" s="38">
        <v>0</v>
      </c>
      <c r="AI18" s="38">
        <v>0</v>
      </c>
      <c r="AJ18" s="37" t="s">
        <v>247</v>
      </c>
      <c r="AK18" s="46">
        <v>6051812</v>
      </c>
      <c r="AL18" s="38" t="str">
        <f t="shared" si="1"/>
        <v>NO</v>
      </c>
      <c r="AM18" s="38">
        <v>0</v>
      </c>
      <c r="AN18" s="38">
        <v>0</v>
      </c>
      <c r="AO18" s="37">
        <v>1</v>
      </c>
      <c r="AP18" s="37">
        <v>0</v>
      </c>
      <c r="AQ18" s="37">
        <v>1</v>
      </c>
      <c r="AR18" s="37">
        <v>1</v>
      </c>
      <c r="AS18" s="37">
        <v>1</v>
      </c>
      <c r="AT18" s="37">
        <v>0</v>
      </c>
      <c r="AU18" s="37">
        <v>0</v>
      </c>
      <c r="AV18" s="37">
        <v>1</v>
      </c>
      <c r="AW18" s="37">
        <v>0</v>
      </c>
      <c r="AX18" s="37">
        <v>1</v>
      </c>
      <c r="AY18" s="37">
        <v>1</v>
      </c>
      <c r="AZ18" s="37">
        <v>0</v>
      </c>
      <c r="BA18" s="37">
        <v>1</v>
      </c>
      <c r="BB18" s="37">
        <v>1</v>
      </c>
      <c r="BC18" s="37">
        <v>1</v>
      </c>
      <c r="BD18" s="37">
        <v>0</v>
      </c>
      <c r="BE18" s="37">
        <v>1</v>
      </c>
      <c r="BF18" s="37">
        <v>0</v>
      </c>
      <c r="BG18" s="37">
        <v>0</v>
      </c>
      <c r="BH18" s="37">
        <v>0</v>
      </c>
      <c r="BI18" s="37">
        <v>0</v>
      </c>
      <c r="BJ18" s="37">
        <v>0</v>
      </c>
      <c r="BK18" s="37">
        <v>0</v>
      </c>
      <c r="BL18" s="37">
        <v>0</v>
      </c>
      <c r="BM18" s="37">
        <v>0</v>
      </c>
      <c r="BN18" s="37">
        <v>0</v>
      </c>
      <c r="BO18" s="37">
        <v>0</v>
      </c>
      <c r="BP18" s="37">
        <v>1</v>
      </c>
      <c r="BQ18" s="37">
        <v>1</v>
      </c>
      <c r="BR18" s="37">
        <v>0</v>
      </c>
      <c r="BS18" s="37">
        <v>0</v>
      </c>
      <c r="BT18" s="37">
        <v>1</v>
      </c>
      <c r="BU18" s="37">
        <v>1</v>
      </c>
      <c r="BV18" s="37">
        <v>0</v>
      </c>
      <c r="BW18" s="37">
        <v>1</v>
      </c>
      <c r="BX18" s="37">
        <v>1</v>
      </c>
      <c r="BY18" s="37">
        <v>0</v>
      </c>
      <c r="BZ18" s="37">
        <v>0</v>
      </c>
      <c r="CA18" s="37">
        <v>0</v>
      </c>
      <c r="CB18" s="37">
        <v>0</v>
      </c>
      <c r="CC18" s="37">
        <v>1</v>
      </c>
      <c r="CD18" s="37">
        <v>0</v>
      </c>
      <c r="CE18" s="37">
        <v>0</v>
      </c>
      <c r="CF18" s="37">
        <v>0</v>
      </c>
      <c r="CG18" s="37">
        <v>0</v>
      </c>
      <c r="CH18" s="37">
        <v>1</v>
      </c>
      <c r="CI18" s="37">
        <v>1</v>
      </c>
      <c r="CJ18" s="37">
        <v>0</v>
      </c>
      <c r="CK18" s="37">
        <v>0</v>
      </c>
      <c r="CL18" s="37">
        <v>1</v>
      </c>
      <c r="CM18" s="14">
        <v>44381</v>
      </c>
      <c r="CN18" s="14">
        <v>44381</v>
      </c>
      <c r="CO18" s="53">
        <v>44853</v>
      </c>
      <c r="CP18" s="54">
        <f t="shared" si="4"/>
        <v>472</v>
      </c>
      <c r="CQ18" s="43">
        <f t="shared" si="0"/>
        <v>266</v>
      </c>
      <c r="CR18" s="48">
        <v>44587</v>
      </c>
      <c r="CS18" s="48" t="s">
        <v>248</v>
      </c>
      <c r="CT18" s="87">
        <v>2</v>
      </c>
      <c r="CU18" s="37">
        <v>0</v>
      </c>
      <c r="CV18" s="37">
        <v>0</v>
      </c>
      <c r="CW18" s="37"/>
      <c r="CX18" s="37">
        <v>0</v>
      </c>
      <c r="CY18" s="37">
        <v>0</v>
      </c>
      <c r="CZ18" s="37">
        <v>0</v>
      </c>
      <c r="DA18" s="37">
        <v>0</v>
      </c>
      <c r="DB18" s="37">
        <v>0</v>
      </c>
      <c r="DC18" s="37">
        <v>0</v>
      </c>
      <c r="DD18" s="38">
        <v>0</v>
      </c>
      <c r="DE18" s="37"/>
      <c r="DF18" s="38">
        <v>1</v>
      </c>
      <c r="DG18" s="38">
        <v>0</v>
      </c>
      <c r="DH18" s="38">
        <v>0</v>
      </c>
      <c r="DI18" s="38">
        <v>0</v>
      </c>
      <c r="DJ18" s="38">
        <v>1</v>
      </c>
      <c r="DK18" s="38">
        <v>0</v>
      </c>
      <c r="DL18" s="38">
        <v>0</v>
      </c>
      <c r="DM18" s="38">
        <v>0</v>
      </c>
      <c r="DN18" s="38">
        <v>0</v>
      </c>
      <c r="DO18" s="38">
        <v>0</v>
      </c>
      <c r="DP18" s="38">
        <v>0</v>
      </c>
      <c r="DQ18" s="38">
        <v>0</v>
      </c>
      <c r="DV18" s="38" t="s">
        <v>206</v>
      </c>
      <c r="DZ18" s="38">
        <v>12</v>
      </c>
      <c r="EA18" s="38">
        <v>4</v>
      </c>
      <c r="EB18" s="65" t="str">
        <f t="shared" si="3"/>
        <v>YES!</v>
      </c>
      <c r="EC18" s="109">
        <v>7069</v>
      </c>
      <c r="ED18" s="112" t="s">
        <v>249</v>
      </c>
      <c r="EE18" s="102">
        <v>526.75</v>
      </c>
      <c r="EF18" s="100">
        <v>407.75</v>
      </c>
      <c r="EG18" s="100">
        <v>459</v>
      </c>
      <c r="EH18" s="100">
        <v>-22</v>
      </c>
      <c r="EI18" s="100">
        <v>-24.25</v>
      </c>
      <c r="EJ18" s="100">
        <v>71.25</v>
      </c>
      <c r="EK18" s="100">
        <v>82</v>
      </c>
      <c r="EL18" s="100">
        <v>738.5</v>
      </c>
      <c r="EM18" s="100">
        <v>453.25</v>
      </c>
      <c r="EN18" s="101">
        <v>547.25</v>
      </c>
      <c r="EO18" s="102">
        <v>187866.75</v>
      </c>
      <c r="EP18" s="100">
        <v>165923.75</v>
      </c>
      <c r="EQ18" s="100">
        <v>182536</v>
      </c>
      <c r="ER18" s="100">
        <v>327.25</v>
      </c>
      <c r="ES18" s="100">
        <v>78.25</v>
      </c>
      <c r="ET18" s="100">
        <v>161.25</v>
      </c>
      <c r="EU18" s="100">
        <v>95925.75</v>
      </c>
      <c r="EV18" s="100">
        <v>179473.75</v>
      </c>
      <c r="EW18" s="100">
        <v>133829.5</v>
      </c>
      <c r="EX18" s="103">
        <v>149741.25</v>
      </c>
    </row>
    <row r="19" spans="1:154" s="38" customFormat="1" ht="69" x14ac:dyDescent="0.3">
      <c r="A19" s="52">
        <v>7075</v>
      </c>
      <c r="B19" s="46"/>
      <c r="C19" s="1" t="s">
        <v>149</v>
      </c>
      <c r="D19" s="40">
        <v>55</v>
      </c>
      <c r="E19" s="40">
        <v>0</v>
      </c>
      <c r="F19" s="40">
        <v>0</v>
      </c>
      <c r="G19" s="46" t="s">
        <v>150</v>
      </c>
      <c r="H19" s="46" t="s">
        <v>216</v>
      </c>
      <c r="I19" s="40">
        <v>1.6</v>
      </c>
      <c r="J19" s="40">
        <v>81.599999999999994</v>
      </c>
      <c r="K19" s="38">
        <v>1</v>
      </c>
      <c r="L19" s="38">
        <v>1</v>
      </c>
      <c r="M19" s="38">
        <v>0</v>
      </c>
      <c r="N19" s="38">
        <v>0</v>
      </c>
      <c r="O19" s="38">
        <v>1</v>
      </c>
      <c r="P19" s="38">
        <v>0</v>
      </c>
      <c r="Q19" s="38">
        <v>1</v>
      </c>
      <c r="R19" s="38">
        <v>0</v>
      </c>
      <c r="S19" s="38">
        <v>0</v>
      </c>
      <c r="T19" s="38">
        <v>0</v>
      </c>
      <c r="U19" s="38">
        <v>1</v>
      </c>
      <c r="V19" s="38">
        <v>1</v>
      </c>
      <c r="W19" s="38">
        <v>0</v>
      </c>
      <c r="X19" s="38">
        <v>0</v>
      </c>
      <c r="Y19" s="38">
        <v>0</v>
      </c>
      <c r="Z19" s="38">
        <v>0</v>
      </c>
      <c r="AA19" s="38">
        <v>0</v>
      </c>
      <c r="AB19" s="38">
        <v>0</v>
      </c>
      <c r="AC19" s="70" t="s">
        <v>250</v>
      </c>
      <c r="AD19" s="38">
        <v>0</v>
      </c>
      <c r="AE19" s="38">
        <v>1</v>
      </c>
      <c r="AF19" s="38">
        <v>0</v>
      </c>
      <c r="AG19" s="38">
        <v>1</v>
      </c>
      <c r="AH19" s="38">
        <v>0</v>
      </c>
      <c r="AI19" s="38">
        <v>0</v>
      </c>
      <c r="AJ19" s="37" t="s">
        <v>251</v>
      </c>
      <c r="AK19" s="46">
        <v>11408219</v>
      </c>
      <c r="AL19" s="38" t="str">
        <f t="shared" si="1"/>
        <v>NO</v>
      </c>
      <c r="AM19" s="38">
        <v>0</v>
      </c>
      <c r="AN19" s="38">
        <v>0</v>
      </c>
      <c r="AO19" s="37">
        <v>1</v>
      </c>
      <c r="AP19" s="37">
        <v>0</v>
      </c>
      <c r="AQ19" s="37">
        <v>1</v>
      </c>
      <c r="AR19" s="37">
        <v>1</v>
      </c>
      <c r="AS19" s="37">
        <v>1</v>
      </c>
      <c r="AT19" s="37">
        <v>0</v>
      </c>
      <c r="AU19" s="37">
        <v>0</v>
      </c>
      <c r="AV19" s="37">
        <v>1</v>
      </c>
      <c r="AW19" s="37">
        <v>0</v>
      </c>
      <c r="AX19" s="37">
        <v>0</v>
      </c>
      <c r="AY19" s="37">
        <v>0</v>
      </c>
      <c r="AZ19" s="37">
        <v>0</v>
      </c>
      <c r="BA19" s="37">
        <v>0</v>
      </c>
      <c r="BB19" s="37">
        <v>1</v>
      </c>
      <c r="BC19" s="37">
        <v>0</v>
      </c>
      <c r="BD19" s="37">
        <v>0</v>
      </c>
      <c r="BE19" s="37">
        <v>0</v>
      </c>
      <c r="BF19" s="37">
        <v>0</v>
      </c>
      <c r="BG19" s="37">
        <v>0</v>
      </c>
      <c r="BH19" s="37">
        <v>0</v>
      </c>
      <c r="BI19" s="37">
        <v>0</v>
      </c>
      <c r="BJ19" s="37">
        <v>0</v>
      </c>
      <c r="BK19" s="37">
        <v>0</v>
      </c>
      <c r="BL19" s="37">
        <v>1</v>
      </c>
      <c r="BM19" s="37">
        <v>1</v>
      </c>
      <c r="BN19" s="37">
        <v>0</v>
      </c>
      <c r="BO19" s="37">
        <v>0</v>
      </c>
      <c r="BP19" s="37">
        <v>0</v>
      </c>
      <c r="BQ19" s="37">
        <v>0</v>
      </c>
      <c r="BR19" s="37">
        <v>1</v>
      </c>
      <c r="BS19" s="37">
        <v>0</v>
      </c>
      <c r="BT19" s="37">
        <v>0</v>
      </c>
      <c r="BU19" s="37">
        <v>0</v>
      </c>
      <c r="BV19" s="37">
        <v>0</v>
      </c>
      <c r="BW19" s="37">
        <v>0</v>
      </c>
      <c r="BX19" s="37">
        <v>1</v>
      </c>
      <c r="BY19" s="37">
        <v>0</v>
      </c>
      <c r="BZ19" s="37">
        <v>0</v>
      </c>
      <c r="CA19" s="37">
        <v>0</v>
      </c>
      <c r="CB19" s="37">
        <v>0</v>
      </c>
      <c r="CC19" s="37">
        <v>0</v>
      </c>
      <c r="CD19" s="37">
        <v>0</v>
      </c>
      <c r="CE19" s="37">
        <v>0</v>
      </c>
      <c r="CF19" s="37">
        <v>0</v>
      </c>
      <c r="CG19" s="37">
        <v>0</v>
      </c>
      <c r="CH19" s="37">
        <v>0</v>
      </c>
      <c r="CI19" s="37">
        <v>0</v>
      </c>
      <c r="CJ19" s="37">
        <v>0</v>
      </c>
      <c r="CK19" s="37">
        <v>0</v>
      </c>
      <c r="CL19" s="37">
        <v>0</v>
      </c>
      <c r="CM19" s="14" t="s">
        <v>252</v>
      </c>
      <c r="CN19" s="14">
        <v>44569</v>
      </c>
      <c r="CO19" s="53">
        <v>44867</v>
      </c>
      <c r="CP19" s="54">
        <f t="shared" si="4"/>
        <v>298</v>
      </c>
      <c r="CQ19" s="43">
        <f t="shared" si="0"/>
        <v>164</v>
      </c>
      <c r="CR19" s="48">
        <v>44703</v>
      </c>
      <c r="CS19" s="37" t="s">
        <v>253</v>
      </c>
      <c r="CT19" s="87">
        <v>1</v>
      </c>
      <c r="CU19" s="37">
        <v>0</v>
      </c>
      <c r="CV19" s="37">
        <v>0</v>
      </c>
      <c r="CW19" s="37">
        <v>0</v>
      </c>
      <c r="CX19" s="37">
        <v>1</v>
      </c>
      <c r="CY19" s="37">
        <v>0</v>
      </c>
      <c r="CZ19" s="37">
        <v>0</v>
      </c>
      <c r="DA19" s="37">
        <v>0</v>
      </c>
      <c r="DB19" s="37">
        <v>0</v>
      </c>
      <c r="DC19" s="37">
        <v>0</v>
      </c>
      <c r="DD19" s="38">
        <v>0</v>
      </c>
      <c r="DE19" s="37"/>
      <c r="DF19" s="38">
        <v>1</v>
      </c>
      <c r="DG19" s="38">
        <v>0</v>
      </c>
      <c r="DH19" s="38">
        <v>1</v>
      </c>
      <c r="DI19" s="38">
        <v>0</v>
      </c>
      <c r="DJ19" s="38">
        <v>1</v>
      </c>
      <c r="DK19" s="38">
        <v>0</v>
      </c>
      <c r="DL19" s="38">
        <v>0</v>
      </c>
      <c r="DM19" s="38">
        <v>0</v>
      </c>
      <c r="DN19" s="38">
        <v>0</v>
      </c>
      <c r="DO19" s="38">
        <v>0</v>
      </c>
      <c r="DP19" s="38">
        <v>0</v>
      </c>
      <c r="DQ19" s="38">
        <v>0</v>
      </c>
      <c r="DV19" s="38" t="s">
        <v>206</v>
      </c>
      <c r="DZ19" s="38">
        <v>1</v>
      </c>
      <c r="EA19" s="38">
        <v>2</v>
      </c>
      <c r="EB19" s="65" t="str">
        <f t="shared" si="3"/>
        <v>YES!</v>
      </c>
      <c r="EC19" s="109">
        <v>7075</v>
      </c>
      <c r="ED19" s="112" t="s">
        <v>254</v>
      </c>
      <c r="EE19" s="102">
        <v>195</v>
      </c>
      <c r="EF19" s="100">
        <v>99.75</v>
      </c>
      <c r="EG19" s="100">
        <v>251.5</v>
      </c>
      <c r="EH19" s="100">
        <v>55.25</v>
      </c>
      <c r="EI19" s="100">
        <v>56</v>
      </c>
      <c r="EJ19" s="100">
        <v>54.25</v>
      </c>
      <c r="EK19" s="100">
        <v>26.5</v>
      </c>
      <c r="EL19" s="100">
        <v>71</v>
      </c>
      <c r="EM19" s="100">
        <v>228.25</v>
      </c>
      <c r="EN19" s="101">
        <v>71.5</v>
      </c>
      <c r="EO19" s="102">
        <v>195303.5</v>
      </c>
      <c r="EP19" s="100">
        <v>157148.5</v>
      </c>
      <c r="EQ19" s="100">
        <v>213394.5</v>
      </c>
      <c r="ER19" s="100">
        <v>83523</v>
      </c>
      <c r="ES19" s="100">
        <v>63041.5</v>
      </c>
      <c r="ET19" s="100">
        <v>62256</v>
      </c>
      <c r="EU19" s="100">
        <v>136019.25</v>
      </c>
      <c r="EV19" s="100">
        <v>72490</v>
      </c>
      <c r="EW19" s="100">
        <v>193180.75</v>
      </c>
      <c r="EX19" s="103">
        <v>100532.5</v>
      </c>
    </row>
    <row r="20" spans="1:154" s="38" customFormat="1" ht="55.2" x14ac:dyDescent="0.3">
      <c r="A20" s="52">
        <v>7076</v>
      </c>
      <c r="B20" s="46"/>
      <c r="C20" s="1" t="s">
        <v>165</v>
      </c>
      <c r="D20" s="40">
        <v>43</v>
      </c>
      <c r="E20" s="40">
        <v>0</v>
      </c>
      <c r="F20" s="40">
        <v>0</v>
      </c>
      <c r="G20" s="46" t="s">
        <v>150</v>
      </c>
      <c r="H20" s="46" t="s">
        <v>151</v>
      </c>
      <c r="I20" s="40">
        <v>1.7</v>
      </c>
      <c r="J20" s="40">
        <v>112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38">
        <v>0</v>
      </c>
      <c r="S20" s="38">
        <v>0</v>
      </c>
      <c r="T20" s="38">
        <v>0</v>
      </c>
      <c r="U20" s="38">
        <v>1</v>
      </c>
      <c r="V20" s="38">
        <v>0</v>
      </c>
      <c r="W20" s="38">
        <v>0</v>
      </c>
      <c r="X20" s="38">
        <v>0</v>
      </c>
      <c r="Y20" s="38">
        <v>0</v>
      </c>
      <c r="Z20" s="38">
        <v>0</v>
      </c>
      <c r="AA20" s="38">
        <v>0</v>
      </c>
      <c r="AB20" s="38">
        <v>0</v>
      </c>
      <c r="AC20" s="71"/>
      <c r="AD20" s="38">
        <v>0</v>
      </c>
      <c r="AE20" s="38">
        <v>0</v>
      </c>
      <c r="AF20" s="38">
        <v>0</v>
      </c>
      <c r="AG20" s="38">
        <v>0</v>
      </c>
      <c r="AH20" s="38">
        <v>0</v>
      </c>
      <c r="AI20" s="38">
        <v>0</v>
      </c>
      <c r="AJ20" s="37" t="s">
        <v>255</v>
      </c>
      <c r="AK20" s="46">
        <v>10815240</v>
      </c>
      <c r="AL20" s="38" t="str">
        <f t="shared" si="1"/>
        <v>NO</v>
      </c>
      <c r="AM20" s="38">
        <v>0</v>
      </c>
      <c r="AN20" s="38">
        <v>0</v>
      </c>
      <c r="AO20" s="37">
        <v>1</v>
      </c>
      <c r="AP20" s="37">
        <v>0</v>
      </c>
      <c r="AQ20" s="37">
        <v>1</v>
      </c>
      <c r="AR20" s="37">
        <v>1</v>
      </c>
      <c r="AS20" s="37">
        <v>1</v>
      </c>
      <c r="AT20" s="37">
        <v>0</v>
      </c>
      <c r="AU20" s="37">
        <v>0</v>
      </c>
      <c r="AV20" s="37">
        <v>0</v>
      </c>
      <c r="AW20" s="37">
        <v>0</v>
      </c>
      <c r="AX20" s="37">
        <v>0</v>
      </c>
      <c r="AY20" s="37">
        <v>0</v>
      </c>
      <c r="AZ20" s="37">
        <v>1</v>
      </c>
      <c r="BA20" s="37">
        <v>0</v>
      </c>
      <c r="BB20" s="37">
        <v>1</v>
      </c>
      <c r="BC20" s="37">
        <v>1</v>
      </c>
      <c r="BD20" s="37">
        <v>0</v>
      </c>
      <c r="BE20" s="37">
        <v>1</v>
      </c>
      <c r="BF20" s="37">
        <v>0</v>
      </c>
      <c r="BG20" s="37">
        <v>0</v>
      </c>
      <c r="BH20" s="37">
        <v>0</v>
      </c>
      <c r="BI20" s="37">
        <v>0</v>
      </c>
      <c r="BJ20" s="37">
        <v>0</v>
      </c>
      <c r="BK20" s="37">
        <v>0</v>
      </c>
      <c r="BL20" s="37">
        <v>0</v>
      </c>
      <c r="BM20" s="37">
        <v>0</v>
      </c>
      <c r="BN20" s="37">
        <v>0</v>
      </c>
      <c r="BO20" s="37">
        <v>0</v>
      </c>
      <c r="BP20" s="37">
        <v>0</v>
      </c>
      <c r="BQ20" s="37">
        <v>0</v>
      </c>
      <c r="BR20" s="37">
        <v>0</v>
      </c>
      <c r="BS20" s="37">
        <v>0</v>
      </c>
      <c r="BT20" s="37">
        <v>0</v>
      </c>
      <c r="BU20" s="37">
        <v>0</v>
      </c>
      <c r="BV20" s="37">
        <v>0</v>
      </c>
      <c r="BW20" s="37">
        <v>0</v>
      </c>
      <c r="BX20" s="37">
        <v>0</v>
      </c>
      <c r="BY20" s="37">
        <v>0</v>
      </c>
      <c r="BZ20" s="37">
        <v>0</v>
      </c>
      <c r="CA20" s="37">
        <v>0</v>
      </c>
      <c r="CB20" s="37">
        <v>0</v>
      </c>
      <c r="CC20" s="37">
        <v>0</v>
      </c>
      <c r="CD20" s="37">
        <v>1</v>
      </c>
      <c r="CE20" s="37">
        <v>0</v>
      </c>
      <c r="CF20" s="37">
        <v>0</v>
      </c>
      <c r="CG20" s="37">
        <v>0</v>
      </c>
      <c r="CH20" s="37">
        <v>0</v>
      </c>
      <c r="CI20" s="37">
        <v>1</v>
      </c>
      <c r="CJ20" s="37">
        <v>0</v>
      </c>
      <c r="CK20" s="37">
        <v>0</v>
      </c>
      <c r="CL20" s="37">
        <v>0</v>
      </c>
      <c r="CM20" s="14">
        <v>44210</v>
      </c>
      <c r="CN20" s="14">
        <v>44210</v>
      </c>
      <c r="CO20" s="53">
        <v>44867</v>
      </c>
      <c r="CP20" s="54">
        <f t="shared" si="4"/>
        <v>657</v>
      </c>
      <c r="CQ20" s="43">
        <f t="shared" si="0"/>
        <v>562</v>
      </c>
      <c r="CR20" s="48">
        <v>44305</v>
      </c>
      <c r="CS20" s="37" t="s">
        <v>256</v>
      </c>
      <c r="CT20" s="87">
        <v>1</v>
      </c>
      <c r="CU20" s="37">
        <v>0</v>
      </c>
      <c r="CV20" s="37">
        <v>0</v>
      </c>
      <c r="CW20" s="37"/>
      <c r="CX20" s="37">
        <v>0</v>
      </c>
      <c r="CY20" s="37">
        <v>0</v>
      </c>
      <c r="CZ20" s="37">
        <v>0</v>
      </c>
      <c r="DA20" s="37">
        <v>0</v>
      </c>
      <c r="DB20" s="37">
        <v>0</v>
      </c>
      <c r="DC20" s="37">
        <v>0</v>
      </c>
      <c r="DD20" s="38">
        <v>0</v>
      </c>
      <c r="DE20" s="37"/>
      <c r="DF20" s="38">
        <v>1</v>
      </c>
      <c r="DG20" s="38">
        <v>0</v>
      </c>
      <c r="DH20" s="38">
        <v>0</v>
      </c>
      <c r="DI20" s="38">
        <v>0</v>
      </c>
      <c r="DJ20" s="38">
        <v>0</v>
      </c>
      <c r="DK20" s="38">
        <v>0</v>
      </c>
      <c r="DL20" s="38">
        <v>0</v>
      </c>
      <c r="DM20" s="38">
        <v>0</v>
      </c>
      <c r="DN20" s="38">
        <v>0</v>
      </c>
      <c r="DO20" s="38">
        <v>0</v>
      </c>
      <c r="DP20" s="38">
        <v>0</v>
      </c>
      <c r="DQ20" s="38">
        <v>0</v>
      </c>
      <c r="DZ20" s="38">
        <v>1</v>
      </c>
      <c r="EA20" s="38">
        <v>2</v>
      </c>
      <c r="EB20" s="65" t="str">
        <f t="shared" si="3"/>
        <v>YES!</v>
      </c>
      <c r="EC20" s="109">
        <v>7076</v>
      </c>
      <c r="ED20" s="112" t="s">
        <v>257</v>
      </c>
      <c r="EE20" s="102">
        <v>1027.25</v>
      </c>
      <c r="EF20" s="100">
        <v>593.75</v>
      </c>
      <c r="EG20" s="100">
        <v>439.25</v>
      </c>
      <c r="EH20" s="100">
        <v>17.75</v>
      </c>
      <c r="EI20" s="100">
        <v>-21.25</v>
      </c>
      <c r="EJ20" s="100">
        <v>48</v>
      </c>
      <c r="EK20" s="100">
        <v>276.5</v>
      </c>
      <c r="EL20" s="100">
        <v>137.75</v>
      </c>
      <c r="EM20" s="100">
        <v>44.5</v>
      </c>
      <c r="EN20" s="101">
        <v>95.25</v>
      </c>
      <c r="EO20" s="102">
        <v>236139.75</v>
      </c>
      <c r="EP20" s="100">
        <v>203231.75</v>
      </c>
      <c r="EQ20" s="100">
        <v>193211.25</v>
      </c>
      <c r="ER20" s="100">
        <v>7349.75</v>
      </c>
      <c r="ES20" s="100">
        <v>71.5</v>
      </c>
      <c r="ET20" s="100">
        <v>233</v>
      </c>
      <c r="EU20" s="100">
        <v>192397.75</v>
      </c>
      <c r="EV20" s="100">
        <v>124773.5</v>
      </c>
      <c r="EW20" s="100">
        <v>19715.75</v>
      </c>
      <c r="EX20" s="103">
        <v>73020.75</v>
      </c>
    </row>
    <row r="21" spans="1:154" s="38" customFormat="1" ht="55.2" x14ac:dyDescent="0.3">
      <c r="A21" s="52">
        <v>7077</v>
      </c>
      <c r="B21" s="46"/>
      <c r="C21" s="1" t="s">
        <v>149</v>
      </c>
      <c r="D21" s="40">
        <v>71</v>
      </c>
      <c r="E21" s="40">
        <v>1</v>
      </c>
      <c r="F21" s="40">
        <v>3.7499999999999999E-2</v>
      </c>
      <c r="G21" s="40" t="s">
        <v>150</v>
      </c>
      <c r="H21" s="40" t="s">
        <v>258</v>
      </c>
      <c r="I21" s="40">
        <v>1.7</v>
      </c>
      <c r="J21" s="40">
        <v>72.599999999999994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1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>
        <v>0</v>
      </c>
      <c r="AB21" s="38">
        <v>0</v>
      </c>
      <c r="AC21" s="72" t="s">
        <v>259</v>
      </c>
      <c r="AD21" s="38">
        <v>0</v>
      </c>
      <c r="AE21" s="38">
        <v>0</v>
      </c>
      <c r="AF21" s="38">
        <v>0</v>
      </c>
      <c r="AG21" s="38">
        <v>0</v>
      </c>
      <c r="AH21" s="38">
        <v>0</v>
      </c>
      <c r="AI21" s="38">
        <v>0</v>
      </c>
      <c r="AJ21" s="37" t="s">
        <v>260</v>
      </c>
      <c r="AK21" s="46">
        <v>2089872</v>
      </c>
      <c r="AL21" s="38" t="str">
        <f t="shared" si="1"/>
        <v>NO</v>
      </c>
      <c r="AM21" s="38">
        <v>0</v>
      </c>
      <c r="AN21" s="38">
        <v>0</v>
      </c>
      <c r="AO21" s="37">
        <v>1</v>
      </c>
      <c r="AP21" s="37">
        <v>0</v>
      </c>
      <c r="AQ21" s="37">
        <v>1</v>
      </c>
      <c r="AR21" s="37">
        <v>1</v>
      </c>
      <c r="AS21" s="37">
        <v>1</v>
      </c>
      <c r="AT21" s="37">
        <v>1</v>
      </c>
      <c r="AU21" s="37">
        <v>1</v>
      </c>
      <c r="AV21" s="37">
        <v>0</v>
      </c>
      <c r="AW21" s="37">
        <v>0</v>
      </c>
      <c r="AX21" s="37">
        <v>0</v>
      </c>
      <c r="AY21" s="37">
        <v>0</v>
      </c>
      <c r="AZ21" s="37">
        <v>1</v>
      </c>
      <c r="BA21" s="37">
        <v>1</v>
      </c>
      <c r="BB21" s="37">
        <v>1</v>
      </c>
      <c r="BC21" s="37">
        <v>0</v>
      </c>
      <c r="BD21" s="37">
        <v>0</v>
      </c>
      <c r="BE21" s="37">
        <v>1</v>
      </c>
      <c r="BF21" s="37">
        <v>0</v>
      </c>
      <c r="BG21" s="37">
        <v>0</v>
      </c>
      <c r="BH21" s="37">
        <v>0</v>
      </c>
      <c r="BI21" s="37">
        <v>0</v>
      </c>
      <c r="BJ21" s="37">
        <v>0</v>
      </c>
      <c r="BK21" s="37">
        <v>0</v>
      </c>
      <c r="BL21" s="37">
        <v>0</v>
      </c>
      <c r="BM21" s="37">
        <v>1</v>
      </c>
      <c r="BN21" s="37">
        <v>1</v>
      </c>
      <c r="BO21" s="37">
        <v>0</v>
      </c>
      <c r="BP21" s="37">
        <v>0</v>
      </c>
      <c r="BQ21" s="37">
        <v>0</v>
      </c>
      <c r="BR21" s="37">
        <v>1</v>
      </c>
      <c r="BS21" s="37">
        <v>0</v>
      </c>
      <c r="BT21" s="37">
        <v>0</v>
      </c>
      <c r="BU21" s="37">
        <v>0</v>
      </c>
      <c r="BV21" s="37">
        <v>0</v>
      </c>
      <c r="BW21" s="37">
        <v>0</v>
      </c>
      <c r="BX21" s="37">
        <v>1</v>
      </c>
      <c r="BY21" s="37">
        <v>0</v>
      </c>
      <c r="BZ21" s="37">
        <v>0</v>
      </c>
      <c r="CA21" s="37">
        <v>0</v>
      </c>
      <c r="CB21" s="37">
        <v>0</v>
      </c>
      <c r="CC21" s="37">
        <v>0</v>
      </c>
      <c r="CD21" s="37">
        <v>0</v>
      </c>
      <c r="CE21" s="37">
        <v>0</v>
      </c>
      <c r="CF21" s="37">
        <v>0</v>
      </c>
      <c r="CG21" s="37">
        <v>0</v>
      </c>
      <c r="CH21" s="37">
        <v>0</v>
      </c>
      <c r="CI21" s="37">
        <v>0</v>
      </c>
      <c r="CJ21" s="37">
        <v>0</v>
      </c>
      <c r="CK21" s="37">
        <v>0</v>
      </c>
      <c r="CL21" s="37">
        <v>0</v>
      </c>
      <c r="CM21" s="14" t="s">
        <v>261</v>
      </c>
      <c r="CN21" s="14">
        <v>44805</v>
      </c>
      <c r="CO21" s="53">
        <v>44867</v>
      </c>
      <c r="CP21" s="54">
        <f t="shared" si="4"/>
        <v>62</v>
      </c>
      <c r="CQ21" s="43">
        <f t="shared" si="0"/>
        <v>112</v>
      </c>
      <c r="CR21" s="48">
        <v>44755</v>
      </c>
      <c r="CS21" s="37" t="s">
        <v>262</v>
      </c>
      <c r="CT21" s="87">
        <v>1</v>
      </c>
      <c r="CU21" s="37">
        <v>0</v>
      </c>
      <c r="CV21" s="37">
        <v>1</v>
      </c>
      <c r="CW21" s="37" t="s">
        <v>263</v>
      </c>
      <c r="CX21" s="37">
        <v>0</v>
      </c>
      <c r="CY21" s="37">
        <v>0</v>
      </c>
      <c r="CZ21" s="37">
        <v>0</v>
      </c>
      <c r="DA21" s="37">
        <v>0</v>
      </c>
      <c r="DB21" s="37">
        <v>0</v>
      </c>
      <c r="DC21" s="37">
        <v>0</v>
      </c>
      <c r="DD21" s="38">
        <v>0</v>
      </c>
      <c r="DE21" s="37"/>
      <c r="DF21" s="38">
        <v>1</v>
      </c>
      <c r="DG21" s="38">
        <v>0</v>
      </c>
      <c r="DH21" s="38">
        <v>0</v>
      </c>
      <c r="DI21" s="38">
        <v>0</v>
      </c>
      <c r="DJ21" s="38">
        <v>0</v>
      </c>
      <c r="DK21" s="38">
        <v>0</v>
      </c>
      <c r="DL21" s="38">
        <v>0</v>
      </c>
      <c r="DM21" s="38">
        <v>0</v>
      </c>
      <c r="DN21" s="38">
        <v>0</v>
      </c>
      <c r="DO21" s="38">
        <v>0</v>
      </c>
      <c r="DP21" s="38">
        <v>0</v>
      </c>
      <c r="DQ21" s="38">
        <v>0</v>
      </c>
      <c r="DV21" s="38" t="s">
        <v>264</v>
      </c>
      <c r="DZ21" s="38">
        <v>7</v>
      </c>
      <c r="EA21" s="38">
        <v>3</v>
      </c>
      <c r="EB21" s="65" t="str">
        <f t="shared" si="3"/>
        <v>YES!</v>
      </c>
      <c r="EC21" s="109">
        <v>7077</v>
      </c>
      <c r="ED21" s="112" t="s">
        <v>265</v>
      </c>
      <c r="EE21" s="102">
        <v>19861.75</v>
      </c>
      <c r="EF21" s="100">
        <v>14175.25</v>
      </c>
      <c r="EG21" s="100">
        <v>8152</v>
      </c>
      <c r="EH21" s="100">
        <v>239.5</v>
      </c>
      <c r="EI21" s="100">
        <v>632.75</v>
      </c>
      <c r="EJ21" s="100">
        <v>1117.5</v>
      </c>
      <c r="EK21" s="100">
        <v>260</v>
      </c>
      <c r="EL21" s="100">
        <v>808</v>
      </c>
      <c r="EM21" s="100">
        <v>336.25</v>
      </c>
      <c r="EN21" s="101">
        <v>1255.25</v>
      </c>
      <c r="EO21" s="102">
        <v>202796.75</v>
      </c>
      <c r="EP21" s="100">
        <v>238566</v>
      </c>
      <c r="EQ21" s="100">
        <v>269013</v>
      </c>
      <c r="ER21" s="100">
        <v>20995.25</v>
      </c>
      <c r="ES21" s="100">
        <v>71204.5</v>
      </c>
      <c r="ET21" s="100">
        <v>111107.25</v>
      </c>
      <c r="EU21" s="100">
        <v>53013.25</v>
      </c>
      <c r="EV21" s="100">
        <v>95861</v>
      </c>
      <c r="EW21" s="100">
        <v>41436</v>
      </c>
      <c r="EX21" s="103">
        <v>123636.5</v>
      </c>
    </row>
    <row r="22" spans="1:154" s="38" customFormat="1" ht="43.2" x14ac:dyDescent="0.3">
      <c r="A22" s="52">
        <v>7090</v>
      </c>
      <c r="B22" s="46"/>
      <c r="C22" s="40" t="s">
        <v>149</v>
      </c>
      <c r="D22" s="40">
        <v>67</v>
      </c>
      <c r="E22" s="40">
        <v>0</v>
      </c>
      <c r="F22" s="40">
        <v>0</v>
      </c>
      <c r="G22" s="40" t="s">
        <v>150</v>
      </c>
      <c r="H22" s="46" t="s">
        <v>216</v>
      </c>
      <c r="I22" s="40">
        <v>1.5</v>
      </c>
      <c r="J22" s="40">
        <v>88.5</v>
      </c>
      <c r="K22" s="38">
        <v>1</v>
      </c>
      <c r="L22" s="38">
        <v>0</v>
      </c>
      <c r="M22" s="38">
        <v>0</v>
      </c>
      <c r="N22" s="38">
        <v>0</v>
      </c>
      <c r="O22" s="38">
        <v>1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1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72" t="s">
        <v>266</v>
      </c>
      <c r="AD22" s="38">
        <v>0</v>
      </c>
      <c r="AE22" s="38">
        <v>0</v>
      </c>
      <c r="AF22" s="38">
        <v>0</v>
      </c>
      <c r="AG22" s="38">
        <v>0</v>
      </c>
      <c r="AH22" s="38">
        <v>0</v>
      </c>
      <c r="AI22" s="38">
        <v>0</v>
      </c>
      <c r="AJ22" s="37" t="s">
        <v>267</v>
      </c>
      <c r="AK22" s="46">
        <v>12000890</v>
      </c>
      <c r="AL22" s="38" t="str">
        <f t="shared" si="1"/>
        <v>NO</v>
      </c>
      <c r="AM22" s="38">
        <v>0</v>
      </c>
      <c r="AN22" s="38">
        <v>0</v>
      </c>
      <c r="AO22" s="37">
        <v>1</v>
      </c>
      <c r="AP22" s="37">
        <v>0</v>
      </c>
      <c r="AQ22" s="37">
        <v>0</v>
      </c>
      <c r="AR22" s="37">
        <v>0</v>
      </c>
      <c r="AS22" s="37">
        <v>0</v>
      </c>
      <c r="AT22" s="37">
        <v>1</v>
      </c>
      <c r="AU22" s="37">
        <v>1</v>
      </c>
      <c r="AV22" s="37">
        <v>0</v>
      </c>
      <c r="AW22" s="37">
        <v>1</v>
      </c>
      <c r="AX22" s="37">
        <v>0</v>
      </c>
      <c r="AY22" s="37">
        <v>0</v>
      </c>
      <c r="AZ22" s="37">
        <v>0</v>
      </c>
      <c r="BA22" s="37">
        <v>1</v>
      </c>
      <c r="BB22" s="37">
        <v>1</v>
      </c>
      <c r="BC22" s="37">
        <v>0</v>
      </c>
      <c r="BD22" s="37">
        <v>0</v>
      </c>
      <c r="BE22" s="37">
        <v>1</v>
      </c>
      <c r="BF22" s="37">
        <v>0</v>
      </c>
      <c r="BG22" s="37">
        <v>0</v>
      </c>
      <c r="BH22" s="37">
        <v>0</v>
      </c>
      <c r="BI22" s="37">
        <v>0</v>
      </c>
      <c r="BJ22" s="37">
        <v>0</v>
      </c>
      <c r="BK22" s="37">
        <v>0</v>
      </c>
      <c r="BL22" s="37">
        <v>0</v>
      </c>
      <c r="BM22" s="37">
        <v>0</v>
      </c>
      <c r="BN22" s="37">
        <v>0</v>
      </c>
      <c r="BO22" s="37">
        <v>0</v>
      </c>
      <c r="BP22" s="37">
        <v>0</v>
      </c>
      <c r="BQ22" s="37">
        <v>0</v>
      </c>
      <c r="BR22" s="37">
        <v>0</v>
      </c>
      <c r="BS22" s="37">
        <v>0</v>
      </c>
      <c r="BT22" s="37">
        <v>0</v>
      </c>
      <c r="BU22" s="37">
        <v>0</v>
      </c>
      <c r="BV22" s="37">
        <v>0</v>
      </c>
      <c r="BW22" s="37">
        <v>0</v>
      </c>
      <c r="BX22" s="37">
        <v>0</v>
      </c>
      <c r="BY22" s="37">
        <v>1</v>
      </c>
      <c r="BZ22" s="37">
        <v>0</v>
      </c>
      <c r="CA22" s="37">
        <v>0</v>
      </c>
      <c r="CB22" s="37">
        <v>0</v>
      </c>
      <c r="CC22" s="37">
        <v>0</v>
      </c>
      <c r="CD22" s="37">
        <v>1</v>
      </c>
      <c r="CE22" s="37">
        <v>0</v>
      </c>
      <c r="CF22" s="37">
        <v>0</v>
      </c>
      <c r="CG22" s="37">
        <v>0</v>
      </c>
      <c r="CH22" s="37">
        <v>0</v>
      </c>
      <c r="CI22" s="37">
        <v>0</v>
      </c>
      <c r="CJ22" s="37">
        <v>0</v>
      </c>
      <c r="CK22" s="37">
        <v>0</v>
      </c>
      <c r="CL22" s="37">
        <v>0</v>
      </c>
      <c r="CM22" s="14">
        <v>44044</v>
      </c>
      <c r="CN22" s="14">
        <v>44044</v>
      </c>
      <c r="CO22" s="53">
        <v>44874</v>
      </c>
      <c r="CP22" s="54">
        <f t="shared" si="4"/>
        <v>830</v>
      </c>
      <c r="CQ22" s="43">
        <f t="shared" si="0"/>
        <v>376</v>
      </c>
      <c r="CR22" s="48">
        <v>44498</v>
      </c>
      <c r="CS22" s="37" t="s">
        <v>268</v>
      </c>
      <c r="CT22" s="87">
        <v>1</v>
      </c>
      <c r="CU22" s="37">
        <v>1</v>
      </c>
      <c r="CV22" s="37">
        <v>1</v>
      </c>
      <c r="CW22" s="37"/>
      <c r="CX22" s="37">
        <v>0</v>
      </c>
      <c r="CY22" s="37">
        <v>0</v>
      </c>
      <c r="CZ22" s="37">
        <v>0</v>
      </c>
      <c r="DA22" s="37">
        <v>0</v>
      </c>
      <c r="DB22" s="37">
        <v>0</v>
      </c>
      <c r="DC22" s="37">
        <v>0</v>
      </c>
      <c r="DD22" s="38">
        <v>0</v>
      </c>
      <c r="DE22" s="37"/>
      <c r="DF22" s="38">
        <v>1</v>
      </c>
      <c r="DG22" s="38">
        <v>0</v>
      </c>
      <c r="DH22" s="38">
        <v>0</v>
      </c>
      <c r="DI22" s="38">
        <v>1</v>
      </c>
      <c r="DJ22" s="38">
        <v>0</v>
      </c>
      <c r="DK22" s="38">
        <v>0</v>
      </c>
      <c r="DL22" s="38">
        <v>0</v>
      </c>
      <c r="DM22" s="38">
        <v>0</v>
      </c>
      <c r="DN22" s="38">
        <v>0</v>
      </c>
      <c r="DO22" s="38">
        <v>0</v>
      </c>
      <c r="DP22" s="38">
        <v>0</v>
      </c>
      <c r="DQ22" s="38">
        <v>0</v>
      </c>
      <c r="DZ22" s="38">
        <v>1</v>
      </c>
      <c r="EA22" s="38">
        <v>1</v>
      </c>
      <c r="EB22" s="65" t="str">
        <f t="shared" si="3"/>
        <v>YES!</v>
      </c>
      <c r="EC22" s="109">
        <v>7090</v>
      </c>
      <c r="ED22" s="112" t="s">
        <v>269</v>
      </c>
      <c r="EE22" s="102">
        <v>48.25</v>
      </c>
      <c r="EF22" s="100">
        <v>6.5</v>
      </c>
      <c r="EG22" s="100">
        <v>47.75</v>
      </c>
      <c r="EH22" s="100">
        <v>-18.5</v>
      </c>
      <c r="EI22" s="100">
        <v>-9.5</v>
      </c>
      <c r="EJ22" s="100">
        <v>30.5</v>
      </c>
      <c r="EK22" s="100">
        <v>34.25</v>
      </c>
      <c r="EL22" s="100">
        <v>56.25</v>
      </c>
      <c r="EM22" s="100">
        <v>236.5</v>
      </c>
      <c r="EN22" s="101">
        <v>37.25</v>
      </c>
      <c r="EO22" s="102">
        <v>18366.75</v>
      </c>
      <c r="EP22" s="100">
        <v>12916.25</v>
      </c>
      <c r="EQ22" s="100">
        <v>45414.5</v>
      </c>
      <c r="ER22" s="100">
        <v>843.75</v>
      </c>
      <c r="ES22" s="100">
        <v>24.75</v>
      </c>
      <c r="ET22" s="100">
        <v>309</v>
      </c>
      <c r="EU22" s="100">
        <v>74029.75</v>
      </c>
      <c r="EV22" s="100">
        <v>68933.75</v>
      </c>
      <c r="EW22" s="100">
        <v>94229.75</v>
      </c>
      <c r="EX22" s="103">
        <v>68046.25</v>
      </c>
    </row>
    <row r="23" spans="1:154" s="38" customFormat="1" ht="69" x14ac:dyDescent="0.3">
      <c r="A23" s="90">
        <v>3198</v>
      </c>
      <c r="B23" s="63"/>
      <c r="C23" s="62" t="s">
        <v>149</v>
      </c>
      <c r="D23" s="40">
        <v>36</v>
      </c>
      <c r="E23" s="40">
        <v>0</v>
      </c>
      <c r="F23" s="40">
        <v>0</v>
      </c>
      <c r="G23" s="46" t="s">
        <v>150</v>
      </c>
      <c r="H23" s="40" t="s">
        <v>151</v>
      </c>
      <c r="I23" s="40">
        <v>1.6</v>
      </c>
      <c r="J23" s="40">
        <v>115</v>
      </c>
      <c r="K23" s="38">
        <v>0</v>
      </c>
      <c r="L23" s="38">
        <v>0</v>
      </c>
      <c r="M23" s="38">
        <v>0</v>
      </c>
      <c r="N23" s="38">
        <v>0</v>
      </c>
      <c r="O23" s="38">
        <v>1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1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75" t="s">
        <v>270</v>
      </c>
      <c r="AD23" s="38">
        <v>0</v>
      </c>
      <c r="AE23" s="38">
        <v>1</v>
      </c>
      <c r="AF23" s="38">
        <v>0</v>
      </c>
      <c r="AG23" s="38">
        <v>0</v>
      </c>
      <c r="AH23" s="38">
        <v>0</v>
      </c>
      <c r="AI23" s="38">
        <v>0</v>
      </c>
      <c r="AJ23" s="37" t="s">
        <v>271</v>
      </c>
      <c r="AK23" s="39">
        <v>10041257</v>
      </c>
      <c r="AL23" s="38" t="str">
        <f t="shared" si="1"/>
        <v>NO</v>
      </c>
      <c r="AM23" s="38">
        <v>0</v>
      </c>
      <c r="AN23" s="38">
        <v>0</v>
      </c>
      <c r="AO23" s="39">
        <v>0</v>
      </c>
      <c r="AP23" s="39">
        <v>0</v>
      </c>
      <c r="AQ23" s="39">
        <v>1</v>
      </c>
      <c r="AR23" s="39">
        <v>0</v>
      </c>
      <c r="AS23" s="39">
        <v>0</v>
      </c>
      <c r="AT23" s="39">
        <v>0</v>
      </c>
      <c r="AU23" s="39">
        <v>0</v>
      </c>
      <c r="AV23" s="39">
        <v>0</v>
      </c>
      <c r="AW23" s="39">
        <v>0</v>
      </c>
      <c r="AX23" s="39">
        <v>0</v>
      </c>
      <c r="AY23" s="39">
        <v>0</v>
      </c>
      <c r="AZ23" s="39">
        <v>0</v>
      </c>
      <c r="BA23" s="39">
        <v>1</v>
      </c>
      <c r="BB23" s="39">
        <v>0</v>
      </c>
      <c r="BC23" s="39">
        <v>0</v>
      </c>
      <c r="BD23" s="39">
        <v>0</v>
      </c>
      <c r="BE23" s="39">
        <v>0</v>
      </c>
      <c r="BF23" s="39">
        <v>0</v>
      </c>
      <c r="BG23" s="39">
        <v>0</v>
      </c>
      <c r="BH23" s="39">
        <v>0</v>
      </c>
      <c r="BI23" s="39">
        <v>0</v>
      </c>
      <c r="BJ23" s="39">
        <v>0</v>
      </c>
      <c r="BK23" s="39">
        <v>0</v>
      </c>
      <c r="BL23" s="39">
        <v>0</v>
      </c>
      <c r="BM23" s="39">
        <v>0</v>
      </c>
      <c r="BN23" s="39">
        <v>0</v>
      </c>
      <c r="BO23" s="39">
        <v>0</v>
      </c>
      <c r="BP23" s="39">
        <v>0</v>
      </c>
      <c r="BQ23" s="39">
        <v>0</v>
      </c>
      <c r="BR23" s="39">
        <v>1</v>
      </c>
      <c r="BS23" s="39">
        <v>0</v>
      </c>
      <c r="BT23" s="39">
        <v>0</v>
      </c>
      <c r="BU23" s="39">
        <v>1</v>
      </c>
      <c r="BV23" s="39">
        <v>0</v>
      </c>
      <c r="BW23" s="39">
        <v>0</v>
      </c>
      <c r="BX23" s="39">
        <v>0</v>
      </c>
      <c r="BY23" s="39">
        <v>0</v>
      </c>
      <c r="BZ23" s="39">
        <v>0</v>
      </c>
      <c r="CA23" s="39">
        <v>0</v>
      </c>
      <c r="CB23" s="39">
        <v>0</v>
      </c>
      <c r="CC23" s="39">
        <v>0</v>
      </c>
      <c r="CD23" s="39">
        <v>0</v>
      </c>
      <c r="CE23" s="39">
        <v>0</v>
      </c>
      <c r="CF23" s="39">
        <v>0</v>
      </c>
      <c r="CG23" s="39">
        <v>0</v>
      </c>
      <c r="CH23" s="39">
        <v>0</v>
      </c>
      <c r="CI23" s="39">
        <v>0</v>
      </c>
      <c r="CJ23" s="39">
        <v>0</v>
      </c>
      <c r="CK23" s="39">
        <v>0</v>
      </c>
      <c r="CL23" s="39">
        <v>0</v>
      </c>
      <c r="CM23" s="56">
        <v>44164</v>
      </c>
      <c r="CN23" s="56">
        <v>44164</v>
      </c>
      <c r="CO23" s="48">
        <v>44224</v>
      </c>
      <c r="CP23" s="43">
        <f>_xlfn.DAYS(CO23,CN23)</f>
        <v>60</v>
      </c>
      <c r="CQ23" s="43" t="e">
        <f t="shared" si="0"/>
        <v>#VALUE!</v>
      </c>
      <c r="CR23" s="39" t="s">
        <v>184</v>
      </c>
      <c r="CS23" s="39" t="s">
        <v>184</v>
      </c>
      <c r="CT23" s="86"/>
      <c r="CU23" s="39">
        <v>0</v>
      </c>
      <c r="CV23" s="39">
        <v>0</v>
      </c>
      <c r="CW23" s="39"/>
      <c r="CX23" s="39">
        <v>0</v>
      </c>
      <c r="CY23" s="39">
        <v>0</v>
      </c>
      <c r="CZ23" s="39">
        <v>0</v>
      </c>
      <c r="DA23" s="39">
        <v>0</v>
      </c>
      <c r="DB23" s="39">
        <v>0</v>
      </c>
      <c r="DC23" s="39">
        <v>0</v>
      </c>
      <c r="DE23" s="37"/>
      <c r="DF23" s="38">
        <v>0</v>
      </c>
      <c r="DG23" s="38">
        <v>0</v>
      </c>
      <c r="DH23" s="38">
        <v>0</v>
      </c>
      <c r="DI23" s="38">
        <v>0</v>
      </c>
      <c r="DJ23" s="38">
        <v>0</v>
      </c>
      <c r="DK23" s="38">
        <v>0</v>
      </c>
      <c r="DL23" s="38">
        <v>0</v>
      </c>
      <c r="DM23" s="38">
        <v>0</v>
      </c>
      <c r="DN23" s="38">
        <v>0</v>
      </c>
      <c r="DO23" s="38">
        <v>0</v>
      </c>
      <c r="DP23" s="38">
        <v>0</v>
      </c>
      <c r="DQ23" s="38">
        <v>1</v>
      </c>
      <c r="DZ23" s="38">
        <v>1</v>
      </c>
      <c r="EA23" s="38">
        <v>1</v>
      </c>
      <c r="EB23" s="65" t="str">
        <f t="shared" si="3"/>
        <v>YES!</v>
      </c>
      <c r="EC23" s="110">
        <v>3198</v>
      </c>
      <c r="ED23" s="112" t="s">
        <v>272</v>
      </c>
      <c r="EE23" s="102">
        <v>156</v>
      </c>
      <c r="EF23" s="100">
        <v>71.25</v>
      </c>
      <c r="EG23" s="100">
        <v>184.75</v>
      </c>
      <c r="EH23" s="100">
        <v>94</v>
      </c>
      <c r="EI23" s="100">
        <v>16.25</v>
      </c>
      <c r="EJ23" s="100">
        <v>199</v>
      </c>
      <c r="EK23" s="100">
        <v>38.75</v>
      </c>
      <c r="EL23" s="100">
        <v>827.5</v>
      </c>
      <c r="EM23" s="100">
        <v>245.25</v>
      </c>
      <c r="EN23" s="101">
        <v>88.25</v>
      </c>
      <c r="EO23" s="102">
        <v>160099.75</v>
      </c>
      <c r="EP23" s="100">
        <v>107969.75</v>
      </c>
      <c r="EQ23" s="100">
        <v>165360.25</v>
      </c>
      <c r="ER23" s="100">
        <v>91536</v>
      </c>
      <c r="ES23" s="100">
        <v>55439.75</v>
      </c>
      <c r="ET23" s="100">
        <v>123372.5</v>
      </c>
      <c r="EU23" s="100">
        <v>90201.75</v>
      </c>
      <c r="EV23" s="100">
        <v>156743.5</v>
      </c>
      <c r="EW23" s="100">
        <v>137507.75</v>
      </c>
      <c r="EX23" s="103">
        <v>114457.75</v>
      </c>
    </row>
    <row r="24" spans="1:154" s="38" customFormat="1" ht="55.2" x14ac:dyDescent="0.3">
      <c r="A24" s="90">
        <v>3199</v>
      </c>
      <c r="B24" s="63"/>
      <c r="C24" s="62" t="s">
        <v>149</v>
      </c>
      <c r="D24" s="40">
        <v>48</v>
      </c>
      <c r="E24" s="40">
        <v>0</v>
      </c>
      <c r="F24" s="40">
        <v>0</v>
      </c>
      <c r="G24" s="46" t="s">
        <v>150</v>
      </c>
      <c r="H24" s="40" t="s">
        <v>151</v>
      </c>
      <c r="I24" s="40">
        <v>1.5</v>
      </c>
      <c r="J24" s="40">
        <v>84.4</v>
      </c>
      <c r="K24" s="38">
        <v>1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1</v>
      </c>
      <c r="V24" s="38">
        <v>0</v>
      </c>
      <c r="W24" s="38">
        <v>0</v>
      </c>
      <c r="X24" s="38">
        <v>0</v>
      </c>
      <c r="Y24" s="38">
        <v>0</v>
      </c>
      <c r="Z24" s="38">
        <v>1</v>
      </c>
      <c r="AA24" s="38">
        <v>0</v>
      </c>
      <c r="AB24" s="38">
        <v>0</v>
      </c>
      <c r="AC24" s="75" t="s">
        <v>273</v>
      </c>
      <c r="AD24" s="38">
        <v>0</v>
      </c>
      <c r="AE24" s="38">
        <v>0</v>
      </c>
      <c r="AF24" s="38">
        <v>1</v>
      </c>
      <c r="AG24" s="38">
        <v>0</v>
      </c>
      <c r="AH24" s="38">
        <v>1</v>
      </c>
      <c r="AI24" s="38">
        <v>0</v>
      </c>
      <c r="AJ24" s="37" t="s">
        <v>274</v>
      </c>
      <c r="AK24" s="39">
        <v>4928250</v>
      </c>
      <c r="AL24" s="38" t="str">
        <f t="shared" si="1"/>
        <v>NO</v>
      </c>
      <c r="AM24" s="38">
        <v>0</v>
      </c>
      <c r="AN24" s="38">
        <v>0</v>
      </c>
      <c r="AO24" s="37">
        <v>1</v>
      </c>
      <c r="AP24" s="37">
        <v>0</v>
      </c>
      <c r="AQ24" s="39">
        <v>1</v>
      </c>
      <c r="AR24" s="39">
        <v>0</v>
      </c>
      <c r="AS24" s="39">
        <v>1</v>
      </c>
      <c r="AT24" s="39">
        <v>0</v>
      </c>
      <c r="AU24" s="39">
        <v>0</v>
      </c>
      <c r="AV24" s="39">
        <v>1</v>
      </c>
      <c r="AW24" s="39">
        <v>0</v>
      </c>
      <c r="AX24" s="39">
        <v>0</v>
      </c>
      <c r="AY24" s="39">
        <v>0</v>
      </c>
      <c r="AZ24" s="39">
        <v>1</v>
      </c>
      <c r="BA24" s="39">
        <v>0</v>
      </c>
      <c r="BB24" s="39">
        <v>1</v>
      </c>
      <c r="BC24" s="39">
        <v>0</v>
      </c>
      <c r="BD24" s="39">
        <v>0</v>
      </c>
      <c r="BE24" s="39">
        <v>0</v>
      </c>
      <c r="BF24" s="39">
        <v>0</v>
      </c>
      <c r="BG24" s="39">
        <v>0</v>
      </c>
      <c r="BH24" s="39">
        <v>0</v>
      </c>
      <c r="BI24" s="39">
        <v>0</v>
      </c>
      <c r="BJ24" s="39">
        <v>0</v>
      </c>
      <c r="BK24" s="39">
        <v>0</v>
      </c>
      <c r="BL24" s="39">
        <v>0</v>
      </c>
      <c r="BM24" s="39">
        <v>0</v>
      </c>
      <c r="BN24" s="39">
        <v>0</v>
      </c>
      <c r="BO24" s="39">
        <v>0</v>
      </c>
      <c r="BP24" s="39">
        <v>0</v>
      </c>
      <c r="BQ24" s="39">
        <v>0</v>
      </c>
      <c r="BR24" s="39">
        <v>0</v>
      </c>
      <c r="BS24" s="39">
        <v>0</v>
      </c>
      <c r="BT24" s="39">
        <v>0</v>
      </c>
      <c r="BU24" s="39">
        <v>0</v>
      </c>
      <c r="BV24" s="39">
        <v>0</v>
      </c>
      <c r="BW24" s="39">
        <v>0</v>
      </c>
      <c r="BX24" s="39">
        <v>0</v>
      </c>
      <c r="BY24" s="39">
        <v>0</v>
      </c>
      <c r="BZ24" s="39">
        <v>0</v>
      </c>
      <c r="CA24" s="39">
        <v>0</v>
      </c>
      <c r="CB24" s="39">
        <v>0</v>
      </c>
      <c r="CC24" s="39">
        <v>0</v>
      </c>
      <c r="CD24" s="39">
        <v>0</v>
      </c>
      <c r="CE24" s="39">
        <v>0</v>
      </c>
      <c r="CF24" s="39">
        <v>0</v>
      </c>
      <c r="CG24" s="39">
        <v>0</v>
      </c>
      <c r="CH24" s="39">
        <v>0</v>
      </c>
      <c r="CI24" s="39">
        <v>1</v>
      </c>
      <c r="CJ24" s="39">
        <v>0</v>
      </c>
      <c r="CK24" s="39">
        <v>0</v>
      </c>
      <c r="CL24" s="39">
        <v>0</v>
      </c>
      <c r="CM24" s="56">
        <v>44014</v>
      </c>
      <c r="CN24" s="56">
        <v>44014</v>
      </c>
      <c r="CO24" s="48">
        <v>44224</v>
      </c>
      <c r="CP24" s="43">
        <f t="shared" ref="CP24:CP61" si="5">_xlfn.DAYS(CO24,CN24)</f>
        <v>210</v>
      </c>
      <c r="CQ24" s="43" t="e">
        <f t="shared" si="0"/>
        <v>#VALUE!</v>
      </c>
      <c r="CR24" s="39" t="s">
        <v>184</v>
      </c>
      <c r="CS24" s="39" t="s">
        <v>275</v>
      </c>
      <c r="CT24" s="86">
        <v>1</v>
      </c>
      <c r="CU24" s="39">
        <v>1</v>
      </c>
      <c r="CV24" s="39">
        <v>1</v>
      </c>
      <c r="CW24" s="39" t="s">
        <v>276</v>
      </c>
      <c r="CX24" s="39">
        <v>0</v>
      </c>
      <c r="CY24" s="39">
        <v>0</v>
      </c>
      <c r="CZ24" s="39">
        <v>0</v>
      </c>
      <c r="DA24" s="39">
        <v>0</v>
      </c>
      <c r="DB24" s="39">
        <v>0</v>
      </c>
      <c r="DC24" s="39">
        <v>0</v>
      </c>
      <c r="DE24" s="37"/>
      <c r="DF24" s="38">
        <v>1</v>
      </c>
      <c r="DG24" s="38">
        <v>0</v>
      </c>
      <c r="DH24" s="38">
        <v>0</v>
      </c>
      <c r="DI24" s="38">
        <v>0</v>
      </c>
      <c r="DJ24" s="38">
        <v>0</v>
      </c>
      <c r="DK24" s="38">
        <v>0</v>
      </c>
      <c r="DL24" s="38">
        <v>0</v>
      </c>
      <c r="DM24" s="38">
        <v>0</v>
      </c>
      <c r="DN24" s="38">
        <v>0</v>
      </c>
      <c r="DO24" s="38">
        <v>0</v>
      </c>
      <c r="DP24" s="38">
        <v>0</v>
      </c>
      <c r="DQ24" s="38">
        <v>0</v>
      </c>
      <c r="DV24" s="38" t="s">
        <v>277</v>
      </c>
      <c r="DZ24" s="38">
        <v>1</v>
      </c>
      <c r="EA24" s="38">
        <v>1</v>
      </c>
      <c r="EB24" s="65" t="str">
        <f t="shared" si="3"/>
        <v>YES!</v>
      </c>
      <c r="EC24" s="110">
        <v>3199</v>
      </c>
      <c r="ED24" s="112" t="s">
        <v>278</v>
      </c>
      <c r="EE24" s="102">
        <v>152.75</v>
      </c>
      <c r="EF24" s="100">
        <v>104.25</v>
      </c>
      <c r="EG24" s="100">
        <v>173.5</v>
      </c>
      <c r="EH24" s="100">
        <v>163</v>
      </c>
      <c r="EI24" s="100">
        <v>139.25</v>
      </c>
      <c r="EJ24" s="100">
        <v>498.5</v>
      </c>
      <c r="EK24" s="100">
        <v>92.75</v>
      </c>
      <c r="EL24" s="100">
        <v>192.75</v>
      </c>
      <c r="EM24" s="100">
        <v>343.25</v>
      </c>
      <c r="EN24" s="101">
        <v>145.75</v>
      </c>
      <c r="EO24" s="102">
        <v>133586.75</v>
      </c>
      <c r="EP24" s="100">
        <v>79011.5</v>
      </c>
      <c r="EQ24" s="100">
        <v>96320</v>
      </c>
      <c r="ER24" s="100">
        <v>113761</v>
      </c>
      <c r="ES24" s="100">
        <v>123061.75</v>
      </c>
      <c r="ET24" s="100">
        <v>181453</v>
      </c>
      <c r="EU24" s="100">
        <v>122251.5</v>
      </c>
      <c r="EV24" s="100">
        <v>115294.25</v>
      </c>
      <c r="EW24" s="100">
        <v>184101.75</v>
      </c>
      <c r="EX24" s="103">
        <v>119750.5</v>
      </c>
    </row>
    <row r="25" spans="1:154" s="38" customFormat="1" ht="55.2" x14ac:dyDescent="0.3">
      <c r="A25" s="90">
        <v>3231</v>
      </c>
      <c r="B25" s="63"/>
      <c r="C25" s="62" t="s">
        <v>149</v>
      </c>
      <c r="D25" s="40">
        <v>51</v>
      </c>
      <c r="E25" s="40">
        <v>0</v>
      </c>
      <c r="F25" s="40">
        <v>0</v>
      </c>
      <c r="G25" s="46" t="s">
        <v>150</v>
      </c>
      <c r="H25" s="40" t="s">
        <v>151</v>
      </c>
      <c r="I25" s="40">
        <v>1.6</v>
      </c>
      <c r="J25" s="40">
        <v>109</v>
      </c>
      <c r="K25" s="38">
        <v>1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1</v>
      </c>
      <c r="V25" s="38">
        <v>0</v>
      </c>
      <c r="W25" s="38">
        <v>0</v>
      </c>
      <c r="X25" s="38">
        <v>1</v>
      </c>
      <c r="Y25" s="38">
        <v>0</v>
      </c>
      <c r="Z25" s="38">
        <v>0</v>
      </c>
      <c r="AA25" s="38">
        <v>0</v>
      </c>
      <c r="AB25" s="38">
        <v>0</v>
      </c>
      <c r="AC25" s="75" t="s">
        <v>279</v>
      </c>
      <c r="AD25" s="38">
        <v>0</v>
      </c>
      <c r="AE25" s="38">
        <v>0</v>
      </c>
      <c r="AF25" s="38">
        <v>0</v>
      </c>
      <c r="AG25" s="38">
        <v>0</v>
      </c>
      <c r="AH25" s="38">
        <v>0</v>
      </c>
      <c r="AI25" s="38">
        <v>0</v>
      </c>
      <c r="AJ25" s="37" t="s">
        <v>280</v>
      </c>
      <c r="AK25" s="39">
        <v>3676549</v>
      </c>
      <c r="AL25" s="38" t="str">
        <f t="shared" si="1"/>
        <v>NO</v>
      </c>
      <c r="AM25" s="38">
        <v>0</v>
      </c>
      <c r="AN25" s="38">
        <v>0</v>
      </c>
      <c r="AO25" s="39">
        <v>0</v>
      </c>
      <c r="AP25" s="39">
        <v>0</v>
      </c>
      <c r="AQ25" s="39">
        <v>1</v>
      </c>
      <c r="AR25" s="39">
        <v>0</v>
      </c>
      <c r="AS25" s="39">
        <v>1</v>
      </c>
      <c r="AT25" s="39">
        <v>0</v>
      </c>
      <c r="AU25" s="39">
        <v>0</v>
      </c>
      <c r="AV25" s="39">
        <v>0</v>
      </c>
      <c r="AW25" s="39">
        <v>0</v>
      </c>
      <c r="AX25" s="39">
        <v>0</v>
      </c>
      <c r="AY25" s="39">
        <v>0</v>
      </c>
      <c r="AZ25" s="39">
        <v>1</v>
      </c>
      <c r="BA25" s="39">
        <v>0</v>
      </c>
      <c r="BB25" s="39">
        <v>1</v>
      </c>
      <c r="BC25" s="39">
        <v>0</v>
      </c>
      <c r="BD25" s="39">
        <v>0</v>
      </c>
      <c r="BE25" s="39">
        <v>0</v>
      </c>
      <c r="BF25" s="39">
        <v>0</v>
      </c>
      <c r="BG25" s="39">
        <v>1</v>
      </c>
      <c r="BH25" s="39">
        <v>0</v>
      </c>
      <c r="BI25" s="39">
        <v>0</v>
      </c>
      <c r="BJ25" s="39">
        <v>0</v>
      </c>
      <c r="BK25" s="39">
        <v>0</v>
      </c>
      <c r="BL25" s="39">
        <v>0</v>
      </c>
      <c r="BM25" s="39">
        <v>0</v>
      </c>
      <c r="BN25" s="39">
        <v>0</v>
      </c>
      <c r="BO25" s="39">
        <v>0</v>
      </c>
      <c r="BP25" s="39">
        <v>0</v>
      </c>
      <c r="BQ25" s="39">
        <v>0</v>
      </c>
      <c r="BR25" s="39">
        <v>1</v>
      </c>
      <c r="BS25" s="39">
        <v>0</v>
      </c>
      <c r="BT25" s="39">
        <v>1</v>
      </c>
      <c r="BU25" s="39">
        <v>1</v>
      </c>
      <c r="BV25" s="39">
        <v>0</v>
      </c>
      <c r="BW25" s="39">
        <v>0</v>
      </c>
      <c r="BX25" s="39">
        <v>1</v>
      </c>
      <c r="BY25" s="39">
        <v>0</v>
      </c>
      <c r="BZ25" s="39">
        <v>0</v>
      </c>
      <c r="CA25" s="39">
        <v>0</v>
      </c>
      <c r="CB25" s="39">
        <v>0</v>
      </c>
      <c r="CC25" s="39">
        <v>0</v>
      </c>
      <c r="CD25" s="39">
        <v>0</v>
      </c>
      <c r="CE25" s="39">
        <v>0</v>
      </c>
      <c r="CF25" s="39">
        <v>1</v>
      </c>
      <c r="CG25" s="39">
        <v>0</v>
      </c>
      <c r="CH25" s="39">
        <v>1</v>
      </c>
      <c r="CI25" s="39">
        <v>1</v>
      </c>
      <c r="CJ25" s="39">
        <v>0</v>
      </c>
      <c r="CK25" s="39">
        <v>0</v>
      </c>
      <c r="CL25" s="39">
        <v>0</v>
      </c>
      <c r="CM25" s="56">
        <v>44013</v>
      </c>
      <c r="CN25" s="56">
        <v>44013</v>
      </c>
      <c r="CO25" s="48">
        <v>44231</v>
      </c>
      <c r="CP25" s="43">
        <f t="shared" si="5"/>
        <v>218</v>
      </c>
      <c r="CQ25" s="43" t="e">
        <f t="shared" si="0"/>
        <v>#VALUE!</v>
      </c>
      <c r="CR25" s="39" t="s">
        <v>184</v>
      </c>
      <c r="CS25" s="39" t="s">
        <v>281</v>
      </c>
      <c r="CT25" s="86">
        <v>1</v>
      </c>
      <c r="CU25" s="39">
        <v>1</v>
      </c>
      <c r="CV25" s="39">
        <v>1</v>
      </c>
      <c r="CW25" s="39" t="s">
        <v>282</v>
      </c>
      <c r="CX25" s="39">
        <v>0</v>
      </c>
      <c r="CY25" s="39">
        <v>1</v>
      </c>
      <c r="CZ25" s="39">
        <v>0</v>
      </c>
      <c r="DA25" s="39">
        <v>0</v>
      </c>
      <c r="DB25" s="39">
        <v>0</v>
      </c>
      <c r="DC25" s="39">
        <v>0</v>
      </c>
      <c r="DE25" s="37"/>
      <c r="DF25" s="38">
        <v>1</v>
      </c>
      <c r="DG25" s="38">
        <v>0</v>
      </c>
      <c r="DH25" s="38">
        <v>0</v>
      </c>
      <c r="DI25" s="38">
        <v>1</v>
      </c>
      <c r="DJ25" s="38">
        <v>0</v>
      </c>
      <c r="DK25" s="38">
        <v>0</v>
      </c>
      <c r="DL25" s="38">
        <v>0</v>
      </c>
      <c r="DM25" s="38">
        <v>0</v>
      </c>
      <c r="DN25" s="38">
        <v>0</v>
      </c>
      <c r="DO25" s="38">
        <v>1</v>
      </c>
      <c r="DP25" s="38">
        <v>0</v>
      </c>
      <c r="DQ25" s="38">
        <v>0</v>
      </c>
      <c r="DV25" s="38" t="s">
        <v>277</v>
      </c>
      <c r="DZ25" s="38">
        <v>1</v>
      </c>
      <c r="EA25" s="38">
        <v>1</v>
      </c>
      <c r="EB25" s="65" t="str">
        <f t="shared" si="3"/>
        <v>YES!</v>
      </c>
      <c r="EC25" s="110">
        <v>3231</v>
      </c>
      <c r="ED25" s="112" t="s">
        <v>283</v>
      </c>
      <c r="EE25" s="102">
        <v>163</v>
      </c>
      <c r="EF25" s="100">
        <v>142</v>
      </c>
      <c r="EG25" s="100">
        <v>540.5</v>
      </c>
      <c r="EH25" s="100">
        <v>71</v>
      </c>
      <c r="EI25" s="100">
        <v>198</v>
      </c>
      <c r="EJ25" s="100">
        <v>261</v>
      </c>
      <c r="EK25" s="100">
        <v>590.25</v>
      </c>
      <c r="EL25" s="100">
        <v>177.25</v>
      </c>
      <c r="EM25" s="100">
        <v>145</v>
      </c>
      <c r="EN25" s="101">
        <v>136.25</v>
      </c>
      <c r="EO25" s="102">
        <v>116688.25</v>
      </c>
      <c r="EP25" s="100">
        <v>78382</v>
      </c>
      <c r="EQ25" s="100">
        <v>132947.75</v>
      </c>
      <c r="ER25" s="100">
        <v>49724</v>
      </c>
      <c r="ES25" s="100">
        <v>154203.75</v>
      </c>
      <c r="ET25" s="100">
        <v>171685</v>
      </c>
      <c r="EU25" s="100">
        <v>115898.5</v>
      </c>
      <c r="EV25" s="100">
        <v>150849.5</v>
      </c>
      <c r="EW25" s="100">
        <v>70362.5</v>
      </c>
      <c r="EX25" s="103">
        <v>97287</v>
      </c>
    </row>
    <row r="26" spans="1:154" s="38" customFormat="1" ht="43.2" x14ac:dyDescent="0.3">
      <c r="A26" s="90">
        <v>3232</v>
      </c>
      <c r="B26" s="63"/>
      <c r="C26" s="62" t="s">
        <v>149</v>
      </c>
      <c r="D26" s="40">
        <v>47</v>
      </c>
      <c r="E26" s="40">
        <v>0</v>
      </c>
      <c r="F26" s="40">
        <v>0</v>
      </c>
      <c r="G26" s="46" t="s">
        <v>150</v>
      </c>
      <c r="H26" s="40" t="s">
        <v>151</v>
      </c>
      <c r="I26" s="40"/>
      <c r="J26" s="40">
        <v>103.6</v>
      </c>
      <c r="K26" s="38">
        <v>1</v>
      </c>
      <c r="L26" s="38">
        <v>0</v>
      </c>
      <c r="M26" s="38">
        <v>0</v>
      </c>
      <c r="N26" s="38">
        <v>0</v>
      </c>
      <c r="O26" s="38">
        <v>0</v>
      </c>
      <c r="P26" s="38">
        <v>0</v>
      </c>
      <c r="Q26" s="38">
        <v>1</v>
      </c>
      <c r="R26" s="38">
        <v>0</v>
      </c>
      <c r="S26" s="38">
        <v>0</v>
      </c>
      <c r="T26" s="38">
        <v>0</v>
      </c>
      <c r="U26" s="38">
        <v>1</v>
      </c>
      <c r="V26" s="38">
        <v>0</v>
      </c>
      <c r="W26" s="38">
        <v>0</v>
      </c>
      <c r="X26" s="38">
        <v>0</v>
      </c>
      <c r="Y26" s="38">
        <v>0</v>
      </c>
      <c r="Z26" s="38">
        <v>0</v>
      </c>
      <c r="AA26" s="38">
        <v>0</v>
      </c>
      <c r="AB26" s="38">
        <v>0</v>
      </c>
      <c r="AC26" s="75" t="s">
        <v>284</v>
      </c>
      <c r="AD26" s="38">
        <v>0</v>
      </c>
      <c r="AE26" s="38">
        <v>0</v>
      </c>
      <c r="AF26" s="38">
        <v>1</v>
      </c>
      <c r="AG26" s="38">
        <v>0</v>
      </c>
      <c r="AH26" s="38">
        <v>0</v>
      </c>
      <c r="AI26" s="38">
        <v>0</v>
      </c>
      <c r="AJ26" s="37" t="s">
        <v>285</v>
      </c>
      <c r="AK26" s="39">
        <v>12932064</v>
      </c>
      <c r="AL26" s="38" t="str">
        <f t="shared" si="1"/>
        <v>NO</v>
      </c>
      <c r="AM26" s="38">
        <v>0</v>
      </c>
      <c r="AN26" s="38">
        <v>0</v>
      </c>
      <c r="AO26" s="39">
        <v>1</v>
      </c>
      <c r="AP26" s="39">
        <v>0</v>
      </c>
      <c r="AQ26" s="39">
        <v>1</v>
      </c>
      <c r="AR26" s="39">
        <v>0</v>
      </c>
      <c r="AS26" s="39">
        <v>0</v>
      </c>
      <c r="AT26" s="39">
        <v>0</v>
      </c>
      <c r="AU26" s="39">
        <v>0</v>
      </c>
      <c r="AV26" s="39">
        <v>0</v>
      </c>
      <c r="AW26" s="39">
        <v>0</v>
      </c>
      <c r="AX26" s="39">
        <v>1</v>
      </c>
      <c r="AY26" s="39">
        <v>0</v>
      </c>
      <c r="AZ26" s="39">
        <v>0</v>
      </c>
      <c r="BA26" s="39">
        <v>0</v>
      </c>
      <c r="BB26" s="39">
        <v>1</v>
      </c>
      <c r="BC26" s="39">
        <v>0</v>
      </c>
      <c r="BD26" s="39">
        <v>0</v>
      </c>
      <c r="BE26" s="39">
        <v>0</v>
      </c>
      <c r="BF26" s="39">
        <v>0</v>
      </c>
      <c r="BG26" s="39">
        <v>0</v>
      </c>
      <c r="BH26" s="39">
        <v>0</v>
      </c>
      <c r="BI26" s="39">
        <v>0</v>
      </c>
      <c r="BJ26" s="39">
        <v>0</v>
      </c>
      <c r="BK26" s="39">
        <v>0</v>
      </c>
      <c r="BL26" s="39">
        <v>0</v>
      </c>
      <c r="BM26" s="39">
        <v>0</v>
      </c>
      <c r="BN26" s="39">
        <v>0</v>
      </c>
      <c r="BO26" s="39">
        <v>0</v>
      </c>
      <c r="BP26" s="39">
        <v>0</v>
      </c>
      <c r="BQ26" s="39">
        <v>0</v>
      </c>
      <c r="BR26" s="39">
        <v>0</v>
      </c>
      <c r="BS26" s="39">
        <v>0</v>
      </c>
      <c r="BT26" s="39">
        <v>0</v>
      </c>
      <c r="BU26" s="39">
        <v>0</v>
      </c>
      <c r="BV26" s="39">
        <v>0</v>
      </c>
      <c r="BW26" s="39">
        <v>0</v>
      </c>
      <c r="BX26" s="39">
        <v>0</v>
      </c>
      <c r="BY26" s="39">
        <v>0</v>
      </c>
      <c r="BZ26" s="39">
        <v>0</v>
      </c>
      <c r="CA26" s="39">
        <v>0</v>
      </c>
      <c r="CB26" s="39">
        <v>0</v>
      </c>
      <c r="CC26" s="39">
        <v>0</v>
      </c>
      <c r="CD26" s="39">
        <v>0</v>
      </c>
      <c r="CE26" s="39">
        <v>0</v>
      </c>
      <c r="CF26" s="39">
        <v>0</v>
      </c>
      <c r="CG26" s="39">
        <v>0</v>
      </c>
      <c r="CH26" s="39">
        <v>0</v>
      </c>
      <c r="CI26" s="39">
        <v>0</v>
      </c>
      <c r="CJ26" s="39">
        <v>0</v>
      </c>
      <c r="CK26" s="39">
        <v>0</v>
      </c>
      <c r="CL26" s="39">
        <v>0</v>
      </c>
      <c r="CM26" s="56">
        <v>43952</v>
      </c>
      <c r="CN26" s="56">
        <v>43952</v>
      </c>
      <c r="CO26" s="48">
        <v>44231</v>
      </c>
      <c r="CP26" s="43">
        <f t="shared" si="5"/>
        <v>279</v>
      </c>
      <c r="CQ26" s="43" t="e">
        <f t="shared" si="0"/>
        <v>#VALUE!</v>
      </c>
      <c r="CR26" s="39" t="s">
        <v>184</v>
      </c>
      <c r="CS26" s="39" t="s">
        <v>286</v>
      </c>
      <c r="CT26" s="86">
        <v>1</v>
      </c>
      <c r="CU26" s="39">
        <v>0</v>
      </c>
      <c r="CV26" s="39">
        <v>0</v>
      </c>
      <c r="CW26" s="39"/>
      <c r="CX26" s="39">
        <v>0</v>
      </c>
      <c r="CY26" s="39">
        <v>0</v>
      </c>
      <c r="CZ26" s="39">
        <v>0</v>
      </c>
      <c r="DA26" s="39">
        <v>0</v>
      </c>
      <c r="DB26" s="39">
        <v>0</v>
      </c>
      <c r="DC26" s="39">
        <v>0</v>
      </c>
      <c r="DE26" s="37"/>
      <c r="DF26" s="38">
        <v>1</v>
      </c>
      <c r="DG26" s="38">
        <v>0</v>
      </c>
      <c r="DH26" s="38">
        <v>0</v>
      </c>
      <c r="DI26" s="38">
        <v>0</v>
      </c>
      <c r="DJ26" s="38">
        <v>0</v>
      </c>
      <c r="DK26" s="38">
        <v>0</v>
      </c>
      <c r="DL26" s="38">
        <v>0</v>
      </c>
      <c r="DM26" s="38">
        <v>0</v>
      </c>
      <c r="DN26" s="38">
        <v>0</v>
      </c>
      <c r="DO26" s="38">
        <v>0</v>
      </c>
      <c r="DP26" s="38">
        <v>0</v>
      </c>
      <c r="DQ26" s="38">
        <v>0</v>
      </c>
      <c r="DV26" s="38" t="s">
        <v>277</v>
      </c>
      <c r="DZ26" s="38">
        <v>1</v>
      </c>
      <c r="EA26" s="38">
        <v>1</v>
      </c>
      <c r="EB26" s="65" t="str">
        <f t="shared" si="3"/>
        <v>YES!</v>
      </c>
      <c r="EC26" s="110">
        <v>3232</v>
      </c>
      <c r="ED26" s="112" t="s">
        <v>287</v>
      </c>
      <c r="EE26" s="102">
        <v>51</v>
      </c>
      <c r="EF26" s="100">
        <v>77</v>
      </c>
      <c r="EG26" s="100">
        <v>28.75</v>
      </c>
      <c r="EH26" s="100">
        <v>33.5</v>
      </c>
      <c r="EI26" s="100">
        <v>180</v>
      </c>
      <c r="EJ26" s="100">
        <v>192.25</v>
      </c>
      <c r="EK26" s="100">
        <v>47.75</v>
      </c>
      <c r="EL26" s="100">
        <v>98.5</v>
      </c>
      <c r="EM26" s="100">
        <v>280.75</v>
      </c>
      <c r="EN26" s="101">
        <v>86.75</v>
      </c>
      <c r="EO26" s="102">
        <v>384.75</v>
      </c>
      <c r="EP26" s="100">
        <v>82</v>
      </c>
      <c r="EQ26" s="100">
        <v>540.5</v>
      </c>
      <c r="ER26" s="100">
        <v>257.5</v>
      </c>
      <c r="ES26" s="100">
        <v>119283.75</v>
      </c>
      <c r="ET26" s="100">
        <v>83761.25</v>
      </c>
      <c r="EU26" s="100">
        <v>59088.5</v>
      </c>
      <c r="EV26" s="100">
        <v>55818.25</v>
      </c>
      <c r="EW26" s="100">
        <v>154151</v>
      </c>
      <c r="EX26" s="103">
        <v>78965</v>
      </c>
    </row>
    <row r="27" spans="1:154" s="38" customFormat="1" ht="43.2" x14ac:dyDescent="0.3">
      <c r="A27" s="91">
        <v>3234</v>
      </c>
      <c r="B27" s="64"/>
      <c r="C27" s="62" t="s">
        <v>149</v>
      </c>
      <c r="D27" s="40">
        <v>59</v>
      </c>
      <c r="E27" s="40">
        <v>0</v>
      </c>
      <c r="F27" s="40">
        <v>0</v>
      </c>
      <c r="G27" s="46" t="s">
        <v>150</v>
      </c>
      <c r="H27" s="40" t="s">
        <v>151</v>
      </c>
      <c r="I27" s="40"/>
      <c r="J27" s="40">
        <v>132</v>
      </c>
      <c r="K27" s="38">
        <v>1</v>
      </c>
      <c r="L27" s="38">
        <v>0</v>
      </c>
      <c r="M27" s="38">
        <v>0</v>
      </c>
      <c r="N27" s="38">
        <v>0</v>
      </c>
      <c r="O27" s="38">
        <v>1</v>
      </c>
      <c r="P27" s="38">
        <v>0</v>
      </c>
      <c r="Q27" s="38">
        <v>0</v>
      </c>
      <c r="R27" s="38">
        <v>0</v>
      </c>
      <c r="S27" s="38">
        <v>0</v>
      </c>
      <c r="T27" s="38">
        <v>0</v>
      </c>
      <c r="U27" s="38">
        <v>1</v>
      </c>
      <c r="V27" s="38">
        <v>0</v>
      </c>
      <c r="W27" s="38">
        <v>0</v>
      </c>
      <c r="X27" s="38">
        <v>0</v>
      </c>
      <c r="Y27" s="38">
        <v>0</v>
      </c>
      <c r="Z27" s="38">
        <v>0</v>
      </c>
      <c r="AA27" s="38">
        <v>0</v>
      </c>
      <c r="AB27" s="38">
        <v>0</v>
      </c>
      <c r="AC27" s="75"/>
      <c r="AD27" s="38">
        <v>0</v>
      </c>
      <c r="AE27" s="38">
        <v>0</v>
      </c>
      <c r="AF27" s="38">
        <v>0</v>
      </c>
      <c r="AG27" s="38">
        <v>0</v>
      </c>
      <c r="AH27" s="38">
        <v>0</v>
      </c>
      <c r="AI27" s="38">
        <v>0</v>
      </c>
      <c r="AJ27" s="37" t="s">
        <v>288</v>
      </c>
      <c r="AK27" s="57">
        <v>11482853</v>
      </c>
      <c r="AL27" s="38" t="str">
        <f t="shared" si="1"/>
        <v>NO</v>
      </c>
      <c r="AM27" s="38">
        <v>0</v>
      </c>
      <c r="AN27" s="38">
        <v>0</v>
      </c>
      <c r="AO27" s="39">
        <v>1</v>
      </c>
      <c r="AP27" s="39">
        <v>0</v>
      </c>
      <c r="AQ27" s="39">
        <v>1</v>
      </c>
      <c r="AR27" s="39">
        <v>0</v>
      </c>
      <c r="AS27" s="39">
        <v>1</v>
      </c>
      <c r="AT27" s="39">
        <v>1</v>
      </c>
      <c r="AU27" s="39">
        <v>1</v>
      </c>
      <c r="AV27" s="39">
        <v>1</v>
      </c>
      <c r="AW27" s="39">
        <v>0</v>
      </c>
      <c r="AX27" s="39">
        <v>0</v>
      </c>
      <c r="AY27" s="39">
        <v>0</v>
      </c>
      <c r="AZ27" s="39">
        <v>0</v>
      </c>
      <c r="BA27" s="39">
        <v>0</v>
      </c>
      <c r="BB27" s="39">
        <v>1</v>
      </c>
      <c r="BC27" s="39">
        <v>0</v>
      </c>
      <c r="BD27" s="39">
        <v>0</v>
      </c>
      <c r="BE27" s="39">
        <v>0</v>
      </c>
      <c r="BF27" s="39">
        <v>1</v>
      </c>
      <c r="BG27" s="39">
        <v>1</v>
      </c>
      <c r="BH27" s="39">
        <v>0</v>
      </c>
      <c r="BI27" s="39">
        <v>0</v>
      </c>
      <c r="BJ27" s="39">
        <v>0</v>
      </c>
      <c r="BK27" s="39">
        <v>0</v>
      </c>
      <c r="BL27" s="39">
        <v>0</v>
      </c>
      <c r="BM27" s="39">
        <v>0</v>
      </c>
      <c r="BN27" s="39">
        <v>0</v>
      </c>
      <c r="BO27" s="39">
        <v>1</v>
      </c>
      <c r="BP27" s="39">
        <v>0</v>
      </c>
      <c r="BQ27" s="39">
        <v>0</v>
      </c>
      <c r="BR27" s="39">
        <v>0</v>
      </c>
      <c r="BS27" s="39">
        <v>0</v>
      </c>
      <c r="BT27" s="39">
        <v>0</v>
      </c>
      <c r="BU27" s="39">
        <v>0</v>
      </c>
      <c r="BV27" s="39">
        <v>0</v>
      </c>
      <c r="BW27" s="39">
        <v>0</v>
      </c>
      <c r="BX27" s="39">
        <v>0</v>
      </c>
      <c r="BY27" s="39">
        <v>0</v>
      </c>
      <c r="BZ27" s="39">
        <v>0</v>
      </c>
      <c r="CA27" s="39">
        <v>0</v>
      </c>
      <c r="CB27" s="39">
        <v>0</v>
      </c>
      <c r="CC27" s="39">
        <v>0</v>
      </c>
      <c r="CD27" s="39">
        <v>0</v>
      </c>
      <c r="CE27" s="39">
        <v>0</v>
      </c>
      <c r="CF27" s="39">
        <v>1</v>
      </c>
      <c r="CG27" s="39">
        <v>0</v>
      </c>
      <c r="CH27" s="39">
        <v>0</v>
      </c>
      <c r="CI27" s="39">
        <v>1</v>
      </c>
      <c r="CJ27" s="39">
        <v>0</v>
      </c>
      <c r="CK27" s="39">
        <v>0</v>
      </c>
      <c r="CL27" s="39">
        <v>0</v>
      </c>
      <c r="CM27" s="56">
        <v>44118</v>
      </c>
      <c r="CN27" s="56">
        <v>44118</v>
      </c>
      <c r="CO27" s="48">
        <v>44231</v>
      </c>
      <c r="CP27" s="43">
        <f t="shared" si="5"/>
        <v>113</v>
      </c>
      <c r="CQ27" s="43" t="e">
        <f t="shared" si="0"/>
        <v>#VALUE!</v>
      </c>
      <c r="CR27" s="39" t="s">
        <v>184</v>
      </c>
      <c r="CS27" s="39" t="s">
        <v>289</v>
      </c>
      <c r="CT27" s="86">
        <v>2</v>
      </c>
      <c r="CU27" s="39">
        <v>0</v>
      </c>
      <c r="CV27" s="39">
        <v>1</v>
      </c>
      <c r="CW27" s="39" t="s">
        <v>290</v>
      </c>
      <c r="CX27" s="39">
        <v>0</v>
      </c>
      <c r="CY27" s="39">
        <v>1</v>
      </c>
      <c r="CZ27" s="39">
        <v>0</v>
      </c>
      <c r="DA27" s="39">
        <v>0</v>
      </c>
      <c r="DB27" s="39">
        <v>0</v>
      </c>
      <c r="DC27" s="39">
        <v>0</v>
      </c>
      <c r="DE27" s="37"/>
      <c r="DF27" s="38">
        <v>0</v>
      </c>
      <c r="DG27" s="38">
        <v>0</v>
      </c>
      <c r="DH27" s="38">
        <v>0</v>
      </c>
      <c r="DI27" s="38">
        <v>0</v>
      </c>
      <c r="DJ27" s="38">
        <v>0</v>
      </c>
      <c r="DK27" s="38">
        <v>0</v>
      </c>
      <c r="DL27" s="38">
        <v>0</v>
      </c>
      <c r="DM27" s="38">
        <v>0</v>
      </c>
      <c r="DN27" s="38">
        <v>0</v>
      </c>
      <c r="DO27" s="38">
        <v>1</v>
      </c>
      <c r="DP27" s="38">
        <v>0</v>
      </c>
      <c r="DQ27" s="38">
        <v>0</v>
      </c>
      <c r="DZ27" s="38">
        <v>1</v>
      </c>
      <c r="EA27" s="38">
        <v>1</v>
      </c>
      <c r="EB27" s="65" t="str">
        <f t="shared" si="3"/>
        <v>YES!</v>
      </c>
      <c r="EC27" s="109">
        <v>3234</v>
      </c>
      <c r="ED27" s="112" t="s">
        <v>291</v>
      </c>
      <c r="EE27" s="102">
        <v>1049</v>
      </c>
      <c r="EF27" s="100">
        <v>666</v>
      </c>
      <c r="EG27" s="100">
        <v>2179.75</v>
      </c>
      <c r="EH27" s="100">
        <v>294.5</v>
      </c>
      <c r="EI27" s="100">
        <v>327.5</v>
      </c>
      <c r="EJ27" s="100">
        <v>429.25</v>
      </c>
      <c r="EK27" s="100">
        <v>1107</v>
      </c>
      <c r="EL27" s="100">
        <v>133.5</v>
      </c>
      <c r="EM27" s="100">
        <v>124.25</v>
      </c>
      <c r="EN27" s="101">
        <v>130.25</v>
      </c>
      <c r="EO27" s="102">
        <v>189370</v>
      </c>
      <c r="EP27" s="100">
        <v>186347</v>
      </c>
      <c r="EQ27" s="100">
        <v>213520</v>
      </c>
      <c r="ER27" s="100">
        <v>118185.5</v>
      </c>
      <c r="ES27" s="100">
        <v>125529.25</v>
      </c>
      <c r="ET27" s="100">
        <v>152546</v>
      </c>
      <c r="EU27" s="100">
        <v>159865.75</v>
      </c>
      <c r="EV27" s="100">
        <v>76959.5</v>
      </c>
      <c r="EW27" s="100">
        <v>99847.75</v>
      </c>
      <c r="EX27" s="103">
        <v>90276</v>
      </c>
    </row>
    <row r="28" spans="1:154" s="38" customFormat="1" ht="43.2" x14ac:dyDescent="0.3">
      <c r="A28" s="90">
        <v>3260</v>
      </c>
      <c r="B28" s="63"/>
      <c r="C28" s="62" t="s">
        <v>165</v>
      </c>
      <c r="D28" s="40">
        <v>42</v>
      </c>
      <c r="E28" s="40">
        <v>0</v>
      </c>
      <c r="F28" s="40">
        <v>0</v>
      </c>
      <c r="G28" s="46" t="s">
        <v>292</v>
      </c>
      <c r="H28" s="40" t="s">
        <v>293</v>
      </c>
      <c r="I28" s="40"/>
      <c r="J28" s="40">
        <v>102</v>
      </c>
      <c r="K28" s="38">
        <v>0</v>
      </c>
      <c r="L28" s="38">
        <v>1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1</v>
      </c>
      <c r="V28" s="38">
        <v>0</v>
      </c>
      <c r="W28" s="38">
        <v>0</v>
      </c>
      <c r="X28" s="38">
        <v>1</v>
      </c>
      <c r="Y28" s="38">
        <v>1</v>
      </c>
      <c r="Z28" s="38">
        <v>0</v>
      </c>
      <c r="AA28" s="38">
        <v>0</v>
      </c>
      <c r="AB28" s="38">
        <v>0</v>
      </c>
      <c r="AC28" s="75" t="s">
        <v>294</v>
      </c>
      <c r="AD28" s="38">
        <v>0</v>
      </c>
      <c r="AE28" s="38">
        <v>0</v>
      </c>
      <c r="AF28" s="38">
        <v>0</v>
      </c>
      <c r="AG28" s="38">
        <v>0</v>
      </c>
      <c r="AH28" s="38">
        <v>0</v>
      </c>
      <c r="AI28" s="38">
        <v>0</v>
      </c>
      <c r="AJ28" s="37" t="s">
        <v>295</v>
      </c>
      <c r="AK28" s="39">
        <v>16626039</v>
      </c>
      <c r="AL28" s="38" t="str">
        <f t="shared" si="1"/>
        <v>NO</v>
      </c>
      <c r="AM28" s="38">
        <v>0</v>
      </c>
      <c r="AN28" s="38">
        <v>0</v>
      </c>
      <c r="AO28" s="39">
        <v>1</v>
      </c>
      <c r="AP28" s="39">
        <v>0</v>
      </c>
      <c r="AQ28" s="39">
        <v>1</v>
      </c>
      <c r="AR28" s="39">
        <v>0</v>
      </c>
      <c r="AS28" s="39">
        <v>0</v>
      </c>
      <c r="AT28" s="39">
        <v>0</v>
      </c>
      <c r="AU28" s="39">
        <v>0</v>
      </c>
      <c r="AV28" s="39">
        <v>1</v>
      </c>
      <c r="AW28" s="39">
        <v>0</v>
      </c>
      <c r="AX28" s="39">
        <v>0</v>
      </c>
      <c r="AY28" s="39">
        <v>0</v>
      </c>
      <c r="AZ28" s="39">
        <v>0</v>
      </c>
      <c r="BA28" s="39">
        <v>0</v>
      </c>
      <c r="BB28" s="39">
        <v>0</v>
      </c>
      <c r="BC28" s="39">
        <v>0</v>
      </c>
      <c r="BD28" s="39">
        <v>0</v>
      </c>
      <c r="BE28" s="39">
        <v>0</v>
      </c>
      <c r="BF28" s="39">
        <v>0</v>
      </c>
      <c r="BG28" s="39">
        <v>0</v>
      </c>
      <c r="BH28" s="39">
        <v>0</v>
      </c>
      <c r="BI28" s="39">
        <v>0</v>
      </c>
      <c r="BJ28" s="39">
        <v>0</v>
      </c>
      <c r="BK28" s="39">
        <v>0</v>
      </c>
      <c r="BL28" s="39">
        <v>0</v>
      </c>
      <c r="BM28" s="39">
        <v>0</v>
      </c>
      <c r="BN28" s="39">
        <v>0</v>
      </c>
      <c r="BO28" s="39">
        <v>0</v>
      </c>
      <c r="BP28" s="39">
        <v>0</v>
      </c>
      <c r="BQ28" s="39">
        <v>0</v>
      </c>
      <c r="BR28" s="39">
        <v>0</v>
      </c>
      <c r="BS28" s="39">
        <v>0</v>
      </c>
      <c r="BT28" s="39">
        <v>0</v>
      </c>
      <c r="BU28" s="39">
        <v>0</v>
      </c>
      <c r="BV28" s="39">
        <v>0</v>
      </c>
      <c r="BW28" s="39">
        <v>0</v>
      </c>
      <c r="BX28" s="39">
        <v>0</v>
      </c>
      <c r="BY28" s="39">
        <v>0</v>
      </c>
      <c r="BZ28" s="39">
        <v>0</v>
      </c>
      <c r="CA28" s="39">
        <v>0</v>
      </c>
      <c r="CB28" s="39">
        <v>0</v>
      </c>
      <c r="CC28" s="39">
        <v>0</v>
      </c>
      <c r="CD28" s="39">
        <v>0</v>
      </c>
      <c r="CE28" s="39">
        <v>0</v>
      </c>
      <c r="CF28" s="39">
        <v>0</v>
      </c>
      <c r="CG28" s="39">
        <v>0</v>
      </c>
      <c r="CH28" s="39">
        <v>0</v>
      </c>
      <c r="CI28" s="39">
        <v>1</v>
      </c>
      <c r="CJ28" s="39">
        <v>0</v>
      </c>
      <c r="CK28" s="39">
        <v>0</v>
      </c>
      <c r="CL28" s="39">
        <v>0</v>
      </c>
      <c r="CM28" s="56">
        <v>44098</v>
      </c>
      <c r="CN28" s="56">
        <v>44098</v>
      </c>
      <c r="CO28" s="48">
        <v>44238</v>
      </c>
      <c r="CP28" s="43">
        <f t="shared" si="5"/>
        <v>140</v>
      </c>
      <c r="CQ28" s="43" t="e">
        <f t="shared" si="0"/>
        <v>#VALUE!</v>
      </c>
      <c r="CR28" s="39" t="s">
        <v>184</v>
      </c>
      <c r="CS28" s="39" t="s">
        <v>296</v>
      </c>
      <c r="CT28" s="86">
        <v>2</v>
      </c>
      <c r="CU28" s="39">
        <v>0</v>
      </c>
      <c r="CV28" s="39">
        <v>0</v>
      </c>
      <c r="CW28" s="39"/>
      <c r="CX28" s="39">
        <v>0</v>
      </c>
      <c r="CY28" s="39">
        <v>0</v>
      </c>
      <c r="CZ28" s="39">
        <v>0</v>
      </c>
      <c r="DA28" s="39">
        <v>0</v>
      </c>
      <c r="DB28" s="39">
        <v>0</v>
      </c>
      <c r="DC28" s="39">
        <v>0</v>
      </c>
      <c r="DE28" s="37"/>
      <c r="DF28" s="38">
        <v>0</v>
      </c>
      <c r="DG28" s="38">
        <v>0</v>
      </c>
      <c r="DH28" s="38">
        <v>0</v>
      </c>
      <c r="DI28" s="38">
        <v>0</v>
      </c>
      <c r="DJ28" s="38">
        <v>0</v>
      </c>
      <c r="DK28" s="38">
        <v>0</v>
      </c>
      <c r="DL28" s="38">
        <v>0</v>
      </c>
      <c r="DM28" s="38">
        <v>0</v>
      </c>
      <c r="DN28" s="38">
        <v>0</v>
      </c>
      <c r="DO28" s="38">
        <v>0</v>
      </c>
      <c r="DP28" s="38">
        <v>0</v>
      </c>
      <c r="DQ28" s="38">
        <v>1</v>
      </c>
      <c r="DZ28" s="38">
        <v>1</v>
      </c>
      <c r="EA28" s="38">
        <v>1</v>
      </c>
      <c r="EB28" s="65" t="str">
        <f t="shared" si="3"/>
        <v>YES!</v>
      </c>
      <c r="EC28" s="110">
        <v>3260</v>
      </c>
      <c r="ED28" s="112" t="s">
        <v>297</v>
      </c>
      <c r="EE28" s="102">
        <v>257.5</v>
      </c>
      <c r="EF28" s="100">
        <v>155.25</v>
      </c>
      <c r="EG28" s="100">
        <v>415.5</v>
      </c>
      <c r="EH28" s="100">
        <v>255.25</v>
      </c>
      <c r="EI28" s="100">
        <v>83.5</v>
      </c>
      <c r="EJ28" s="100">
        <v>367.5</v>
      </c>
      <c r="EK28" s="100">
        <v>186.75</v>
      </c>
      <c r="EL28" s="100">
        <v>95.75</v>
      </c>
      <c r="EM28" s="100">
        <v>91.25</v>
      </c>
      <c r="EN28" s="101">
        <v>90.25</v>
      </c>
      <c r="EO28" s="102">
        <v>52605.75</v>
      </c>
      <c r="EP28" s="100">
        <v>27137</v>
      </c>
      <c r="EQ28" s="100">
        <v>68865.5</v>
      </c>
      <c r="ER28" s="100">
        <v>94536.75</v>
      </c>
      <c r="ES28" s="100">
        <v>36669.5</v>
      </c>
      <c r="ET28" s="100">
        <v>114648</v>
      </c>
      <c r="EU28" s="100">
        <v>18603.75</v>
      </c>
      <c r="EV28" s="100">
        <v>75694.25</v>
      </c>
      <c r="EW28" s="100">
        <v>82172.75</v>
      </c>
      <c r="EX28" s="103">
        <v>44782.5</v>
      </c>
    </row>
    <row r="29" spans="1:154" s="38" customFormat="1" ht="43.2" x14ac:dyDescent="0.3">
      <c r="A29" s="90">
        <v>3264</v>
      </c>
      <c r="B29" s="63"/>
      <c r="C29" s="62" t="s">
        <v>149</v>
      </c>
      <c r="D29" s="40">
        <v>70</v>
      </c>
      <c r="E29" s="40">
        <v>0</v>
      </c>
      <c r="F29" s="40">
        <v>0</v>
      </c>
      <c r="G29" s="46" t="s">
        <v>150</v>
      </c>
      <c r="H29" s="40" t="s">
        <v>151</v>
      </c>
      <c r="I29" s="40">
        <v>1.5</v>
      </c>
      <c r="J29" s="40">
        <v>112.9</v>
      </c>
      <c r="K29" s="38">
        <v>1</v>
      </c>
      <c r="L29" s="38">
        <v>0</v>
      </c>
      <c r="M29" s="38">
        <v>1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1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75" t="s">
        <v>298</v>
      </c>
      <c r="AD29" s="38">
        <v>0</v>
      </c>
      <c r="AE29" s="38">
        <v>0</v>
      </c>
      <c r="AF29" s="38">
        <v>0</v>
      </c>
      <c r="AG29" s="38">
        <v>0</v>
      </c>
      <c r="AH29" s="38">
        <v>1</v>
      </c>
      <c r="AI29" s="38">
        <v>0</v>
      </c>
      <c r="AJ29" s="37" t="s">
        <v>299</v>
      </c>
      <c r="AK29" s="39">
        <v>1596185</v>
      </c>
      <c r="AL29" s="38" t="str">
        <f t="shared" si="1"/>
        <v>NO</v>
      </c>
      <c r="AM29" s="38">
        <v>0</v>
      </c>
      <c r="AN29" s="38">
        <v>0</v>
      </c>
      <c r="AO29" s="39">
        <v>0</v>
      </c>
      <c r="AP29" s="39">
        <v>0</v>
      </c>
      <c r="AQ29" s="39">
        <v>1</v>
      </c>
      <c r="AR29" s="39">
        <v>1</v>
      </c>
      <c r="AS29" s="39">
        <v>1</v>
      </c>
      <c r="AT29" s="39">
        <v>1</v>
      </c>
      <c r="AU29" s="39">
        <v>1</v>
      </c>
      <c r="AV29" s="39">
        <v>1</v>
      </c>
      <c r="AW29" s="39">
        <v>0</v>
      </c>
      <c r="AX29" s="39">
        <v>1</v>
      </c>
      <c r="AY29" s="39">
        <v>0</v>
      </c>
      <c r="AZ29" s="39">
        <v>0</v>
      </c>
      <c r="BA29" s="39">
        <v>0</v>
      </c>
      <c r="BB29" s="39">
        <v>0</v>
      </c>
      <c r="BC29" s="39">
        <v>0</v>
      </c>
      <c r="BD29" s="39">
        <v>0</v>
      </c>
      <c r="BE29" s="39">
        <v>0</v>
      </c>
      <c r="BF29" s="39">
        <v>0</v>
      </c>
      <c r="BG29" s="39">
        <v>0</v>
      </c>
      <c r="BH29" s="39">
        <v>0</v>
      </c>
      <c r="BI29" s="39">
        <v>0</v>
      </c>
      <c r="BJ29" s="39">
        <v>0</v>
      </c>
      <c r="BK29" s="39">
        <v>0</v>
      </c>
      <c r="BL29" s="39">
        <v>0</v>
      </c>
      <c r="BM29" s="39">
        <v>0</v>
      </c>
      <c r="BN29" s="39">
        <v>0</v>
      </c>
      <c r="BO29" s="39">
        <v>0</v>
      </c>
      <c r="BP29" s="39">
        <v>0</v>
      </c>
      <c r="BQ29" s="39">
        <v>0</v>
      </c>
      <c r="BR29" s="39">
        <v>0</v>
      </c>
      <c r="BS29" s="39">
        <v>0</v>
      </c>
      <c r="BT29" s="39">
        <v>0</v>
      </c>
      <c r="BU29" s="39">
        <v>0</v>
      </c>
      <c r="BV29" s="39">
        <v>0</v>
      </c>
      <c r="BW29" s="39">
        <v>0</v>
      </c>
      <c r="BX29" s="39">
        <v>0</v>
      </c>
      <c r="BY29" s="39">
        <v>0</v>
      </c>
      <c r="BZ29" s="39">
        <v>0</v>
      </c>
      <c r="CA29" s="39">
        <v>0</v>
      </c>
      <c r="CB29" s="39">
        <v>0</v>
      </c>
      <c r="CC29" s="39">
        <v>0</v>
      </c>
      <c r="CD29" s="39">
        <v>0</v>
      </c>
      <c r="CE29" s="39">
        <v>1</v>
      </c>
      <c r="CF29" s="39">
        <v>0</v>
      </c>
      <c r="CG29" s="39">
        <v>0</v>
      </c>
      <c r="CH29" s="39">
        <v>1</v>
      </c>
      <c r="CI29" s="39">
        <v>0</v>
      </c>
      <c r="CJ29" s="39">
        <v>0</v>
      </c>
      <c r="CK29" s="39">
        <v>0</v>
      </c>
      <c r="CL29" s="39">
        <v>0</v>
      </c>
      <c r="CM29" s="56">
        <v>44168</v>
      </c>
      <c r="CN29" s="56">
        <v>44168</v>
      </c>
      <c r="CO29" s="48">
        <v>44238</v>
      </c>
      <c r="CP29" s="43">
        <f t="shared" si="5"/>
        <v>70</v>
      </c>
      <c r="CQ29" s="43" t="e">
        <f t="shared" si="0"/>
        <v>#VALUE!</v>
      </c>
      <c r="CR29" s="39" t="s">
        <v>184</v>
      </c>
      <c r="CS29" s="39" t="s">
        <v>184</v>
      </c>
      <c r="CT29" s="86"/>
      <c r="CU29" s="39">
        <v>0</v>
      </c>
      <c r="CV29" s="39">
        <v>1</v>
      </c>
      <c r="CW29" s="39" t="s">
        <v>300</v>
      </c>
      <c r="CX29" s="39">
        <v>0</v>
      </c>
      <c r="CY29" s="39">
        <v>1</v>
      </c>
      <c r="CZ29" s="39">
        <v>0</v>
      </c>
      <c r="DA29" s="39">
        <v>0</v>
      </c>
      <c r="DB29" s="39">
        <v>0</v>
      </c>
      <c r="DC29" s="39">
        <v>0</v>
      </c>
      <c r="DE29" s="37"/>
      <c r="DF29" s="38">
        <v>1</v>
      </c>
      <c r="DG29" s="38">
        <v>0</v>
      </c>
      <c r="DH29" s="38">
        <v>0</v>
      </c>
      <c r="DI29" s="38">
        <v>1</v>
      </c>
      <c r="DJ29" s="38">
        <v>0</v>
      </c>
      <c r="DK29" s="38">
        <v>0</v>
      </c>
      <c r="DL29" s="38">
        <v>0</v>
      </c>
      <c r="DM29" s="38">
        <v>0</v>
      </c>
      <c r="DN29" s="38">
        <v>0</v>
      </c>
      <c r="DO29" s="38">
        <v>1</v>
      </c>
      <c r="DP29" s="38">
        <v>0</v>
      </c>
      <c r="DQ29" s="38">
        <v>0</v>
      </c>
      <c r="DU29" s="38" t="s">
        <v>277</v>
      </c>
      <c r="DV29" s="38" t="s">
        <v>277</v>
      </c>
      <c r="DZ29" s="38">
        <v>1</v>
      </c>
      <c r="EA29" s="38">
        <v>1</v>
      </c>
      <c r="EB29" s="65" t="str">
        <f t="shared" si="3"/>
        <v>YES!</v>
      </c>
      <c r="EC29" s="110">
        <v>3264</v>
      </c>
      <c r="ED29" s="112" t="s">
        <v>301</v>
      </c>
      <c r="EE29" s="102">
        <v>935.25</v>
      </c>
      <c r="EF29" s="100">
        <v>484.75</v>
      </c>
      <c r="EG29" s="100">
        <v>2035.75</v>
      </c>
      <c r="EH29" s="100">
        <v>94</v>
      </c>
      <c r="EI29" s="100">
        <v>66.25</v>
      </c>
      <c r="EJ29" s="100">
        <v>284</v>
      </c>
      <c r="EK29" s="100">
        <v>69.75</v>
      </c>
      <c r="EL29" s="100">
        <v>129.25</v>
      </c>
      <c r="EM29" s="100">
        <v>625.75</v>
      </c>
      <c r="EN29" s="101">
        <v>57.5</v>
      </c>
      <c r="EO29" s="102">
        <v>189438</v>
      </c>
      <c r="EP29" s="100">
        <v>136156.75</v>
      </c>
      <c r="EQ29" s="100">
        <v>206270.5</v>
      </c>
      <c r="ER29" s="100">
        <v>78404.5</v>
      </c>
      <c r="ES29" s="100">
        <v>52268.75</v>
      </c>
      <c r="ET29" s="100">
        <v>70850.5</v>
      </c>
      <c r="EU29" s="100">
        <v>52673</v>
      </c>
      <c r="EV29" s="100">
        <v>81026.75</v>
      </c>
      <c r="EW29" s="100">
        <v>141926.75</v>
      </c>
      <c r="EX29" s="103">
        <v>66054.25</v>
      </c>
    </row>
    <row r="30" spans="1:154" s="38" customFormat="1" ht="43.2" x14ac:dyDescent="0.3">
      <c r="A30" s="36">
        <v>3290</v>
      </c>
      <c r="B30" s="63"/>
      <c r="C30" s="62" t="s">
        <v>149</v>
      </c>
      <c r="D30" s="40">
        <v>36</v>
      </c>
      <c r="E30" s="40">
        <v>0</v>
      </c>
      <c r="F30" s="40">
        <v>0</v>
      </c>
      <c r="G30" s="46" t="s">
        <v>150</v>
      </c>
      <c r="H30" s="40" t="s">
        <v>180</v>
      </c>
      <c r="I30" s="40">
        <v>1.65</v>
      </c>
      <c r="J30" s="40">
        <v>78.599999999999994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8">
        <v>0</v>
      </c>
      <c r="Q30" s="38">
        <v>0</v>
      </c>
      <c r="R30" s="38">
        <v>0</v>
      </c>
      <c r="S30" s="38">
        <v>0</v>
      </c>
      <c r="T30" s="38">
        <v>0</v>
      </c>
      <c r="U30" s="38">
        <v>1</v>
      </c>
      <c r="V30" s="38">
        <v>0</v>
      </c>
      <c r="W30" s="38">
        <v>0</v>
      </c>
      <c r="X30" s="38">
        <v>0</v>
      </c>
      <c r="Y30" s="38">
        <v>0</v>
      </c>
      <c r="Z30" s="38">
        <v>1</v>
      </c>
      <c r="AA30" s="38">
        <v>0</v>
      </c>
      <c r="AB30" s="38">
        <v>0</v>
      </c>
      <c r="AC30" s="75" t="s">
        <v>302</v>
      </c>
      <c r="AD30" s="38">
        <v>0</v>
      </c>
      <c r="AE30" s="38">
        <v>0</v>
      </c>
      <c r="AF30" s="38">
        <v>0</v>
      </c>
      <c r="AG30" s="38">
        <v>0</v>
      </c>
      <c r="AH30" s="38">
        <v>0</v>
      </c>
      <c r="AI30" s="38">
        <v>0</v>
      </c>
      <c r="AJ30" s="37" t="s">
        <v>303</v>
      </c>
      <c r="AK30" s="39">
        <v>52721506</v>
      </c>
      <c r="AL30" s="38" t="str">
        <f t="shared" si="1"/>
        <v>NO</v>
      </c>
      <c r="AM30" s="38">
        <v>0</v>
      </c>
      <c r="AN30" s="38">
        <v>0</v>
      </c>
      <c r="AO30" s="39">
        <v>1</v>
      </c>
      <c r="AP30" s="39">
        <v>0</v>
      </c>
      <c r="AQ30" s="39">
        <v>1</v>
      </c>
      <c r="AR30" s="39">
        <v>0</v>
      </c>
      <c r="AS30" s="39">
        <v>0</v>
      </c>
      <c r="AT30" s="39">
        <v>1</v>
      </c>
      <c r="AU30" s="39">
        <v>1</v>
      </c>
      <c r="AV30" s="39">
        <v>0</v>
      </c>
      <c r="AW30" s="39">
        <v>0</v>
      </c>
      <c r="AX30" s="39">
        <v>1</v>
      </c>
      <c r="AY30" s="39">
        <v>0</v>
      </c>
      <c r="AZ30" s="39">
        <v>0</v>
      </c>
      <c r="BA30" s="39">
        <v>0</v>
      </c>
      <c r="BB30" s="39">
        <v>1</v>
      </c>
      <c r="BC30" s="39">
        <v>1</v>
      </c>
      <c r="BD30" s="39">
        <v>0</v>
      </c>
      <c r="BE30" s="39">
        <v>1</v>
      </c>
      <c r="BF30" s="39">
        <v>0</v>
      </c>
      <c r="BG30" s="39">
        <v>1</v>
      </c>
      <c r="BH30" s="39">
        <v>0</v>
      </c>
      <c r="BI30" s="39">
        <v>0</v>
      </c>
      <c r="BJ30" s="39">
        <v>0</v>
      </c>
      <c r="BK30" s="39">
        <v>0</v>
      </c>
      <c r="BL30" s="39">
        <v>0</v>
      </c>
      <c r="BM30" s="39">
        <v>0</v>
      </c>
      <c r="BN30" s="39">
        <v>0</v>
      </c>
      <c r="BO30" s="39">
        <v>0</v>
      </c>
      <c r="BP30" s="39">
        <v>0</v>
      </c>
      <c r="BQ30" s="39">
        <v>0</v>
      </c>
      <c r="BR30" s="39">
        <v>0</v>
      </c>
      <c r="BS30" s="39">
        <v>0</v>
      </c>
      <c r="BT30" s="39">
        <v>0</v>
      </c>
      <c r="BU30" s="39">
        <v>0</v>
      </c>
      <c r="BV30" s="39">
        <v>0</v>
      </c>
      <c r="BW30" s="39">
        <v>0</v>
      </c>
      <c r="BX30" s="39">
        <v>1</v>
      </c>
      <c r="BY30" s="39">
        <v>0</v>
      </c>
      <c r="BZ30" s="39">
        <v>0</v>
      </c>
      <c r="CA30" s="39">
        <v>0</v>
      </c>
      <c r="CB30" s="39">
        <v>0</v>
      </c>
      <c r="CC30" s="39">
        <v>0</v>
      </c>
      <c r="CD30" s="39">
        <v>0</v>
      </c>
      <c r="CE30" s="39">
        <v>0</v>
      </c>
      <c r="CF30" s="39">
        <v>0</v>
      </c>
      <c r="CG30" s="39">
        <v>0</v>
      </c>
      <c r="CH30" s="39">
        <v>0</v>
      </c>
      <c r="CI30" s="39">
        <v>0</v>
      </c>
      <c r="CJ30" s="39">
        <v>0</v>
      </c>
      <c r="CK30" s="39">
        <v>0</v>
      </c>
      <c r="CL30" s="39">
        <v>0</v>
      </c>
      <c r="CM30" s="56">
        <v>43914</v>
      </c>
      <c r="CN30" s="56">
        <v>43914</v>
      </c>
      <c r="CO30" s="58">
        <v>44169</v>
      </c>
      <c r="CP30" s="43">
        <f t="shared" si="5"/>
        <v>255</v>
      </c>
      <c r="CQ30" s="43" t="e">
        <f t="shared" si="0"/>
        <v>#VALUE!</v>
      </c>
      <c r="CR30" s="39" t="s">
        <v>184</v>
      </c>
      <c r="CS30" s="39" t="s">
        <v>184</v>
      </c>
      <c r="CT30" s="86"/>
      <c r="CU30" s="39">
        <v>0</v>
      </c>
      <c r="CV30" s="39">
        <v>1</v>
      </c>
      <c r="CW30" s="39"/>
      <c r="CX30" s="39">
        <v>0</v>
      </c>
      <c r="CY30" s="39">
        <v>0</v>
      </c>
      <c r="CZ30" s="39">
        <v>0</v>
      </c>
      <c r="DA30" s="39">
        <v>1</v>
      </c>
      <c r="DB30" s="39">
        <v>0</v>
      </c>
      <c r="DC30" s="39">
        <v>0</v>
      </c>
      <c r="DD30" s="38">
        <v>1</v>
      </c>
      <c r="DE30" s="37"/>
      <c r="DF30" s="38">
        <v>0</v>
      </c>
      <c r="DG30" s="38">
        <v>0</v>
      </c>
      <c r="DH30" s="38">
        <v>0</v>
      </c>
      <c r="DI30" s="38">
        <v>0</v>
      </c>
      <c r="DJ30" s="38">
        <v>0</v>
      </c>
      <c r="DK30" s="38">
        <v>0</v>
      </c>
      <c r="DL30" s="38">
        <v>0</v>
      </c>
      <c r="DM30" s="38">
        <v>0</v>
      </c>
      <c r="DN30" s="38">
        <v>0</v>
      </c>
      <c r="DO30" s="38">
        <v>0</v>
      </c>
      <c r="DP30" s="38">
        <v>0</v>
      </c>
      <c r="DQ30" s="38">
        <v>0</v>
      </c>
      <c r="DZ30" s="38">
        <v>5</v>
      </c>
      <c r="EA30" s="38">
        <v>1</v>
      </c>
      <c r="EB30" s="65" t="str">
        <f t="shared" si="3"/>
        <v>YES!</v>
      </c>
      <c r="EC30" s="111">
        <v>3290</v>
      </c>
      <c r="ED30" s="112" t="s">
        <v>304</v>
      </c>
      <c r="EE30" s="102">
        <v>94.25</v>
      </c>
      <c r="EF30" s="100">
        <v>59.5</v>
      </c>
      <c r="EG30" s="100">
        <v>1250</v>
      </c>
      <c r="EH30" s="100">
        <v>67.25</v>
      </c>
      <c r="EI30" s="100">
        <v>53</v>
      </c>
      <c r="EJ30" s="100">
        <v>46</v>
      </c>
      <c r="EK30" s="100">
        <v>43.25</v>
      </c>
      <c r="EL30" s="100">
        <v>284.25</v>
      </c>
      <c r="EM30" s="100">
        <v>504.5</v>
      </c>
      <c r="EN30" s="101">
        <v>62.5</v>
      </c>
      <c r="EO30" s="102">
        <v>3486.75</v>
      </c>
      <c r="EP30" s="100">
        <v>1625.5</v>
      </c>
      <c r="EQ30" s="100">
        <v>104987.75</v>
      </c>
      <c r="ER30" s="100">
        <v>407.25</v>
      </c>
      <c r="ES30" s="100">
        <v>65.25</v>
      </c>
      <c r="ET30" s="100">
        <v>183</v>
      </c>
      <c r="EU30" s="100">
        <v>3850.75</v>
      </c>
      <c r="EV30" s="100">
        <v>22469.5</v>
      </c>
      <c r="EW30" s="100">
        <v>39004.5</v>
      </c>
      <c r="EX30" s="103">
        <v>126</v>
      </c>
    </row>
    <row r="31" spans="1:154" s="38" customFormat="1" ht="69" x14ac:dyDescent="0.3">
      <c r="A31" s="36">
        <v>3292</v>
      </c>
      <c r="B31" s="63"/>
      <c r="C31" s="62" t="s">
        <v>149</v>
      </c>
      <c r="D31" s="40">
        <v>81</v>
      </c>
      <c r="E31" s="40">
        <v>0</v>
      </c>
      <c r="F31" s="40">
        <v>0</v>
      </c>
      <c r="G31" s="46" t="s">
        <v>150</v>
      </c>
      <c r="H31" s="40" t="s">
        <v>180</v>
      </c>
      <c r="I31" s="40">
        <v>1.5</v>
      </c>
      <c r="J31" s="40">
        <v>63</v>
      </c>
      <c r="K31" s="38">
        <v>1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1</v>
      </c>
      <c r="S31" s="38">
        <v>0</v>
      </c>
      <c r="T31" s="38">
        <v>0</v>
      </c>
      <c r="U31" s="38">
        <v>1</v>
      </c>
      <c r="V31" s="38">
        <v>0</v>
      </c>
      <c r="W31" s="38">
        <v>0</v>
      </c>
      <c r="X31" s="38">
        <v>0</v>
      </c>
      <c r="Y31" s="38">
        <v>0</v>
      </c>
      <c r="Z31" s="38">
        <v>0</v>
      </c>
      <c r="AA31" s="38">
        <v>0</v>
      </c>
      <c r="AB31" s="38">
        <v>0</v>
      </c>
      <c r="AC31" s="75" t="s">
        <v>305</v>
      </c>
      <c r="AD31" s="38">
        <v>0</v>
      </c>
      <c r="AE31" s="38">
        <v>0</v>
      </c>
      <c r="AF31" s="38">
        <v>0</v>
      </c>
      <c r="AG31" s="38">
        <v>1</v>
      </c>
      <c r="AH31" s="38">
        <v>1</v>
      </c>
      <c r="AI31" s="38">
        <v>0</v>
      </c>
      <c r="AJ31" s="37" t="s">
        <v>306</v>
      </c>
      <c r="AK31" s="39">
        <v>3390580</v>
      </c>
      <c r="AL31" s="38" t="str">
        <f t="shared" si="1"/>
        <v>NO</v>
      </c>
      <c r="AM31" s="38">
        <v>0</v>
      </c>
      <c r="AN31" s="38">
        <v>0</v>
      </c>
      <c r="AO31" s="39">
        <v>1</v>
      </c>
      <c r="AP31" s="39">
        <v>0</v>
      </c>
      <c r="AQ31" s="39">
        <v>1</v>
      </c>
      <c r="AR31" s="39">
        <v>0</v>
      </c>
      <c r="AS31" s="39">
        <v>0</v>
      </c>
      <c r="AT31" s="39">
        <v>1</v>
      </c>
      <c r="AU31" s="39">
        <v>1</v>
      </c>
      <c r="AV31" s="39">
        <v>0</v>
      </c>
      <c r="AW31" s="39">
        <v>0</v>
      </c>
      <c r="AX31" s="39">
        <v>0</v>
      </c>
      <c r="AY31" s="39">
        <v>1</v>
      </c>
      <c r="AZ31" s="39">
        <v>0</v>
      </c>
      <c r="BA31" s="39">
        <v>1</v>
      </c>
      <c r="BB31" s="39">
        <v>1</v>
      </c>
      <c r="BC31" s="39">
        <v>0</v>
      </c>
      <c r="BD31" s="39">
        <v>0</v>
      </c>
      <c r="BE31" s="39">
        <v>1</v>
      </c>
      <c r="BF31" s="39">
        <v>0</v>
      </c>
      <c r="BG31" s="39">
        <v>1</v>
      </c>
      <c r="BH31" s="39">
        <v>0</v>
      </c>
      <c r="BI31" s="39">
        <v>0</v>
      </c>
      <c r="BJ31" s="39">
        <v>0</v>
      </c>
      <c r="BK31" s="39">
        <v>0</v>
      </c>
      <c r="BL31" s="39">
        <v>0</v>
      </c>
      <c r="BM31" s="39">
        <v>0</v>
      </c>
      <c r="BN31" s="39">
        <v>0</v>
      </c>
      <c r="BO31" s="39">
        <v>0</v>
      </c>
      <c r="BP31" s="39">
        <v>1</v>
      </c>
      <c r="BQ31" s="39">
        <v>0</v>
      </c>
      <c r="BR31" s="39">
        <v>1</v>
      </c>
      <c r="BS31" s="39">
        <v>0</v>
      </c>
      <c r="BT31" s="39">
        <v>0</v>
      </c>
      <c r="BU31" s="39">
        <v>0</v>
      </c>
      <c r="BV31" s="39">
        <v>0</v>
      </c>
      <c r="BW31" s="39">
        <v>0</v>
      </c>
      <c r="BX31" s="39">
        <v>0</v>
      </c>
      <c r="BY31" s="39">
        <v>0</v>
      </c>
      <c r="BZ31" s="39">
        <v>0</v>
      </c>
      <c r="CA31" s="39">
        <v>0</v>
      </c>
      <c r="CB31" s="39">
        <v>0</v>
      </c>
      <c r="CC31" s="39">
        <v>0</v>
      </c>
      <c r="CD31" s="39">
        <v>0</v>
      </c>
      <c r="CE31" s="39">
        <v>0</v>
      </c>
      <c r="CF31" s="39">
        <v>0</v>
      </c>
      <c r="CG31" s="39">
        <v>0</v>
      </c>
      <c r="CH31" s="39">
        <v>0</v>
      </c>
      <c r="CI31" s="39">
        <v>0</v>
      </c>
      <c r="CJ31" s="39">
        <v>0</v>
      </c>
      <c r="CK31" s="39">
        <v>0</v>
      </c>
      <c r="CL31" s="39">
        <v>0</v>
      </c>
      <c r="CM31" s="56" t="s">
        <v>307</v>
      </c>
      <c r="CN31" s="56">
        <v>44013</v>
      </c>
      <c r="CO31" s="48">
        <v>44246</v>
      </c>
      <c r="CP31" s="43">
        <f t="shared" si="5"/>
        <v>233</v>
      </c>
      <c r="CQ31" s="43" t="e">
        <f t="shared" si="0"/>
        <v>#VALUE!</v>
      </c>
      <c r="CR31" s="39" t="s">
        <v>184</v>
      </c>
      <c r="CS31" s="39" t="s">
        <v>308</v>
      </c>
      <c r="CT31" s="86">
        <v>2</v>
      </c>
      <c r="CU31" s="39">
        <v>1</v>
      </c>
      <c r="CV31" s="39">
        <v>1</v>
      </c>
      <c r="CW31" s="39" t="s">
        <v>309</v>
      </c>
      <c r="CX31" s="39">
        <v>0</v>
      </c>
      <c r="CY31" s="39">
        <v>0</v>
      </c>
      <c r="CZ31" s="39">
        <v>1</v>
      </c>
      <c r="DA31" s="39">
        <v>0</v>
      </c>
      <c r="DB31" s="39">
        <v>0</v>
      </c>
      <c r="DC31" s="39">
        <v>0</v>
      </c>
      <c r="DD31" s="38">
        <v>1</v>
      </c>
      <c r="DE31" s="37" t="s">
        <v>310</v>
      </c>
      <c r="DF31" s="38">
        <v>1</v>
      </c>
      <c r="DG31" s="38">
        <v>0</v>
      </c>
      <c r="DH31" s="38">
        <v>0</v>
      </c>
      <c r="DI31" s="38">
        <v>0</v>
      </c>
      <c r="DJ31" s="38">
        <v>0</v>
      </c>
      <c r="DK31" s="38">
        <v>0</v>
      </c>
      <c r="DL31" s="38">
        <v>0</v>
      </c>
      <c r="DM31" s="38">
        <v>0</v>
      </c>
      <c r="DN31" s="38">
        <v>0</v>
      </c>
      <c r="DO31" s="38">
        <v>0</v>
      </c>
      <c r="DP31" s="38">
        <v>0</v>
      </c>
      <c r="DQ31" s="38">
        <v>0</v>
      </c>
      <c r="DZ31" s="38">
        <v>1</v>
      </c>
      <c r="EA31" s="38">
        <v>1</v>
      </c>
      <c r="EB31" s="65" t="str">
        <f t="shared" si="3"/>
        <v>YES!</v>
      </c>
      <c r="EC31" s="110">
        <v>3292</v>
      </c>
      <c r="ED31" s="112" t="s">
        <v>311</v>
      </c>
      <c r="EE31" s="102">
        <v>397</v>
      </c>
      <c r="EF31" s="100">
        <v>270.25</v>
      </c>
      <c r="EG31" s="100">
        <v>962.5</v>
      </c>
      <c r="EH31" s="100">
        <v>176</v>
      </c>
      <c r="EI31" s="100">
        <v>278.75</v>
      </c>
      <c r="EJ31" s="100">
        <v>553.5</v>
      </c>
      <c r="EK31" s="100">
        <v>543.5</v>
      </c>
      <c r="EL31" s="100">
        <v>4591.5</v>
      </c>
      <c r="EM31" s="100">
        <v>552.75</v>
      </c>
      <c r="EN31" s="101">
        <v>3685.25</v>
      </c>
      <c r="EO31" s="102">
        <v>28118</v>
      </c>
      <c r="EP31" s="100">
        <v>16859.5</v>
      </c>
      <c r="EQ31" s="100">
        <v>52829.25</v>
      </c>
      <c r="ER31" s="100">
        <v>6405.5</v>
      </c>
      <c r="ES31" s="100">
        <v>24502</v>
      </c>
      <c r="ET31" s="100">
        <v>43367.25</v>
      </c>
      <c r="EU31" s="100">
        <v>73615.5</v>
      </c>
      <c r="EV31" s="100">
        <v>155818.5</v>
      </c>
      <c r="EW31" s="100">
        <v>43389.5</v>
      </c>
      <c r="EX31" s="103">
        <v>139235.25</v>
      </c>
    </row>
    <row r="32" spans="1:154" s="38" customFormat="1" ht="55.2" x14ac:dyDescent="0.3">
      <c r="A32" s="90">
        <v>3299</v>
      </c>
      <c r="B32" s="63"/>
      <c r="C32" s="62" t="s">
        <v>149</v>
      </c>
      <c r="D32" s="40">
        <v>50</v>
      </c>
      <c r="E32" s="40">
        <v>0</v>
      </c>
      <c r="F32" s="40">
        <v>0</v>
      </c>
      <c r="G32" s="46" t="s">
        <v>150</v>
      </c>
      <c r="H32" s="40" t="s">
        <v>151</v>
      </c>
      <c r="I32" s="40">
        <v>1.6</v>
      </c>
      <c r="J32" s="40">
        <v>86.2</v>
      </c>
      <c r="K32" s="38">
        <v>1</v>
      </c>
      <c r="L32" s="38">
        <v>1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1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0</v>
      </c>
      <c r="AC32" s="75" t="s">
        <v>312</v>
      </c>
      <c r="AD32" s="38">
        <v>0</v>
      </c>
      <c r="AE32" s="38">
        <v>0</v>
      </c>
      <c r="AF32" s="38">
        <v>0</v>
      </c>
      <c r="AG32" s="38">
        <v>0</v>
      </c>
      <c r="AH32" s="38">
        <v>1</v>
      </c>
      <c r="AI32" s="38">
        <v>0</v>
      </c>
      <c r="AJ32" s="37" t="s">
        <v>313</v>
      </c>
      <c r="AK32" s="39">
        <v>20502219</v>
      </c>
      <c r="AL32" s="38" t="str">
        <f t="shared" si="1"/>
        <v>NO</v>
      </c>
      <c r="AM32" s="38">
        <v>0</v>
      </c>
      <c r="AN32" s="38">
        <v>0</v>
      </c>
      <c r="AO32" s="39">
        <v>1</v>
      </c>
      <c r="AP32" s="39">
        <v>0</v>
      </c>
      <c r="AQ32" s="39">
        <v>1</v>
      </c>
      <c r="AR32" s="39">
        <v>1</v>
      </c>
      <c r="AS32" s="39">
        <v>1</v>
      </c>
      <c r="AT32" s="39">
        <v>0</v>
      </c>
      <c r="AU32" s="39">
        <v>0</v>
      </c>
      <c r="AV32" s="39">
        <v>0</v>
      </c>
      <c r="AW32" s="39">
        <v>0</v>
      </c>
      <c r="AX32" s="39">
        <v>0</v>
      </c>
      <c r="AY32" s="39">
        <v>0</v>
      </c>
      <c r="AZ32" s="39">
        <v>0</v>
      </c>
      <c r="BA32" s="39">
        <v>0</v>
      </c>
      <c r="BB32" s="39">
        <v>0</v>
      </c>
      <c r="BC32" s="39">
        <v>0</v>
      </c>
      <c r="BD32" s="39">
        <v>0</v>
      </c>
      <c r="BE32" s="39">
        <v>0</v>
      </c>
      <c r="BF32" s="39">
        <v>0</v>
      </c>
      <c r="BG32" s="39">
        <v>0</v>
      </c>
      <c r="BH32" s="39">
        <v>0</v>
      </c>
      <c r="BI32" s="39">
        <v>0</v>
      </c>
      <c r="BJ32" s="39">
        <v>0</v>
      </c>
      <c r="BK32" s="39">
        <v>0</v>
      </c>
      <c r="BL32" s="39">
        <v>0</v>
      </c>
      <c r="BM32" s="39">
        <v>0</v>
      </c>
      <c r="BN32" s="39">
        <v>0</v>
      </c>
      <c r="BO32" s="39">
        <v>0</v>
      </c>
      <c r="BP32" s="39">
        <v>0</v>
      </c>
      <c r="BQ32" s="39">
        <v>0</v>
      </c>
      <c r="BR32" s="39">
        <v>0</v>
      </c>
      <c r="BS32" s="39">
        <v>0</v>
      </c>
      <c r="BT32" s="39">
        <v>0</v>
      </c>
      <c r="BU32" s="39">
        <v>0</v>
      </c>
      <c r="BV32" s="39">
        <v>0</v>
      </c>
      <c r="BW32" s="39">
        <v>0</v>
      </c>
      <c r="BX32" s="39">
        <v>0</v>
      </c>
      <c r="BY32" s="39">
        <v>0</v>
      </c>
      <c r="BZ32" s="39">
        <v>0</v>
      </c>
      <c r="CA32" s="39">
        <v>0</v>
      </c>
      <c r="CB32" s="39">
        <v>0</v>
      </c>
      <c r="CC32" s="39">
        <v>0</v>
      </c>
      <c r="CD32" s="39">
        <v>0</v>
      </c>
      <c r="CE32" s="39">
        <v>0</v>
      </c>
      <c r="CF32" s="39">
        <v>0</v>
      </c>
      <c r="CG32" s="39">
        <v>0</v>
      </c>
      <c r="CH32" s="39">
        <v>0</v>
      </c>
      <c r="CI32" s="39">
        <v>1</v>
      </c>
      <c r="CJ32" s="39">
        <v>0</v>
      </c>
      <c r="CK32" s="39">
        <v>0</v>
      </c>
      <c r="CL32" s="39">
        <v>0</v>
      </c>
      <c r="CM32" s="56">
        <v>44187</v>
      </c>
      <c r="CN32" s="56">
        <v>44187</v>
      </c>
      <c r="CO32" s="48">
        <v>44252</v>
      </c>
      <c r="CP32" s="43">
        <f t="shared" si="5"/>
        <v>65</v>
      </c>
      <c r="CQ32" s="43" t="e">
        <f t="shared" si="0"/>
        <v>#VALUE!</v>
      </c>
      <c r="CR32" s="39" t="s">
        <v>184</v>
      </c>
      <c r="CS32" s="39" t="s">
        <v>314</v>
      </c>
      <c r="CT32" s="86">
        <v>1</v>
      </c>
      <c r="CU32" s="39">
        <v>1</v>
      </c>
      <c r="CV32" s="39">
        <v>0</v>
      </c>
      <c r="CW32" s="39"/>
      <c r="CX32" s="39">
        <v>0</v>
      </c>
      <c r="CY32" s="39">
        <v>0</v>
      </c>
      <c r="CZ32" s="39">
        <v>0</v>
      </c>
      <c r="DA32" s="39">
        <v>0</v>
      </c>
      <c r="DB32" s="39">
        <v>0</v>
      </c>
      <c r="DC32" s="39">
        <v>0</v>
      </c>
      <c r="DD32" s="38">
        <v>1</v>
      </c>
      <c r="DE32" s="37"/>
      <c r="DF32" s="38">
        <v>1</v>
      </c>
      <c r="DG32" s="38">
        <v>0</v>
      </c>
      <c r="DH32" s="38">
        <v>0</v>
      </c>
      <c r="DI32" s="38">
        <v>0</v>
      </c>
      <c r="DJ32" s="38">
        <v>0</v>
      </c>
      <c r="DK32" s="38">
        <v>0</v>
      </c>
      <c r="DL32" s="38">
        <v>0</v>
      </c>
      <c r="DM32" s="38">
        <v>0</v>
      </c>
      <c r="DN32" s="38">
        <v>0</v>
      </c>
      <c r="DO32" s="38">
        <v>0</v>
      </c>
      <c r="DP32" s="38">
        <v>0</v>
      </c>
      <c r="DQ32" s="38">
        <v>0</v>
      </c>
      <c r="DV32" s="38" t="s">
        <v>277</v>
      </c>
      <c r="DZ32" s="38">
        <v>1</v>
      </c>
      <c r="EA32" s="38">
        <v>1</v>
      </c>
      <c r="EB32" s="65" t="str">
        <f t="shared" si="3"/>
        <v>YES!</v>
      </c>
      <c r="EC32" s="110">
        <v>3299</v>
      </c>
      <c r="ED32" s="112" t="s">
        <v>315</v>
      </c>
      <c r="EE32" s="102">
        <v>902.75</v>
      </c>
      <c r="EF32" s="100">
        <v>534</v>
      </c>
      <c r="EG32" s="100">
        <v>884.25</v>
      </c>
      <c r="EH32" s="100">
        <v>755.5</v>
      </c>
      <c r="EI32" s="100">
        <v>184.25</v>
      </c>
      <c r="EJ32" s="100">
        <v>777</v>
      </c>
      <c r="EK32" s="100">
        <v>29.25</v>
      </c>
      <c r="EL32" s="100">
        <v>59.25</v>
      </c>
      <c r="EM32" s="100">
        <v>44</v>
      </c>
      <c r="EN32" s="101">
        <v>199</v>
      </c>
      <c r="EO32" s="102">
        <v>192784.75</v>
      </c>
      <c r="EP32" s="100">
        <v>164263.75</v>
      </c>
      <c r="EQ32" s="100">
        <v>212850.25</v>
      </c>
      <c r="ER32" s="100">
        <v>154614.25</v>
      </c>
      <c r="ES32" s="100">
        <v>100406</v>
      </c>
      <c r="ET32" s="100">
        <v>171900.5</v>
      </c>
      <c r="EU32" s="100">
        <v>29302.25</v>
      </c>
      <c r="EV32" s="100">
        <v>48625.25</v>
      </c>
      <c r="EW32" s="100">
        <v>2987</v>
      </c>
      <c r="EX32" s="103">
        <v>106544.5</v>
      </c>
    </row>
    <row r="33" spans="1:154" s="38" customFormat="1" ht="43.2" x14ac:dyDescent="0.3">
      <c r="A33" s="90">
        <v>3320</v>
      </c>
      <c r="B33" s="63"/>
      <c r="C33" s="62" t="s">
        <v>149</v>
      </c>
      <c r="D33" s="40">
        <v>32</v>
      </c>
      <c r="E33" s="40">
        <v>0</v>
      </c>
      <c r="F33" s="40">
        <v>0</v>
      </c>
      <c r="G33" s="46" t="s">
        <v>292</v>
      </c>
      <c r="H33" s="40" t="s">
        <v>293</v>
      </c>
      <c r="I33" s="40"/>
      <c r="J33" s="40">
        <v>97.3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1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  <c r="AA33" s="38">
        <v>0</v>
      </c>
      <c r="AB33" s="38">
        <v>0</v>
      </c>
      <c r="AC33" s="75"/>
      <c r="AD33" s="38">
        <v>0</v>
      </c>
      <c r="AE33" s="38">
        <v>0</v>
      </c>
      <c r="AF33" s="38">
        <v>0</v>
      </c>
      <c r="AG33" s="38">
        <v>0</v>
      </c>
      <c r="AH33" s="38">
        <v>0</v>
      </c>
      <c r="AI33" s="38">
        <v>0</v>
      </c>
      <c r="AJ33" s="37" t="s">
        <v>316</v>
      </c>
      <c r="AK33" s="39">
        <v>100569652</v>
      </c>
      <c r="AL33" s="38" t="str">
        <f t="shared" si="1"/>
        <v>NO</v>
      </c>
      <c r="AM33" s="38">
        <v>0</v>
      </c>
      <c r="AN33" s="38">
        <v>0</v>
      </c>
      <c r="AO33" s="39">
        <v>1</v>
      </c>
      <c r="AP33" s="39">
        <v>0</v>
      </c>
      <c r="AQ33" s="39">
        <v>0</v>
      </c>
      <c r="AR33" s="39">
        <v>0</v>
      </c>
      <c r="AS33" s="39">
        <v>0</v>
      </c>
      <c r="AT33" s="39">
        <v>0</v>
      </c>
      <c r="AU33" s="39">
        <v>0</v>
      </c>
      <c r="AV33" s="39">
        <v>1</v>
      </c>
      <c r="AW33" s="39">
        <v>0</v>
      </c>
      <c r="AX33" s="39">
        <v>0</v>
      </c>
      <c r="AY33" s="39">
        <v>0</v>
      </c>
      <c r="AZ33" s="39">
        <v>1</v>
      </c>
      <c r="BA33" s="39">
        <v>0</v>
      </c>
      <c r="BB33" s="39">
        <v>0</v>
      </c>
      <c r="BC33" s="39">
        <v>0</v>
      </c>
      <c r="BD33" s="39">
        <v>0</v>
      </c>
      <c r="BE33" s="39">
        <v>0</v>
      </c>
      <c r="BF33" s="39">
        <v>0</v>
      </c>
      <c r="BG33" s="39">
        <v>1</v>
      </c>
      <c r="BH33" s="39">
        <v>0</v>
      </c>
      <c r="BI33" s="39">
        <v>0</v>
      </c>
      <c r="BJ33" s="39">
        <v>0</v>
      </c>
      <c r="BK33" s="39">
        <v>0</v>
      </c>
      <c r="BL33" s="39">
        <v>0</v>
      </c>
      <c r="BM33" s="39">
        <v>0</v>
      </c>
      <c r="BN33" s="39">
        <v>0</v>
      </c>
      <c r="BO33" s="39">
        <v>0</v>
      </c>
      <c r="BP33" s="39">
        <v>0</v>
      </c>
      <c r="BQ33" s="39">
        <v>0</v>
      </c>
      <c r="BR33" s="39">
        <v>0</v>
      </c>
      <c r="BS33" s="39">
        <v>0</v>
      </c>
      <c r="BT33" s="39">
        <v>0</v>
      </c>
      <c r="BU33" s="39">
        <v>0</v>
      </c>
      <c r="BV33" s="39">
        <v>0</v>
      </c>
      <c r="BW33" s="39">
        <v>0</v>
      </c>
      <c r="BX33" s="39">
        <v>0</v>
      </c>
      <c r="BY33" s="39">
        <v>0</v>
      </c>
      <c r="BZ33" s="39">
        <v>0</v>
      </c>
      <c r="CA33" s="39">
        <v>0</v>
      </c>
      <c r="CB33" s="39">
        <v>0</v>
      </c>
      <c r="CC33" s="39">
        <v>0</v>
      </c>
      <c r="CD33" s="39">
        <v>0</v>
      </c>
      <c r="CE33" s="39">
        <v>0</v>
      </c>
      <c r="CF33" s="39">
        <v>0</v>
      </c>
      <c r="CG33" s="39">
        <v>0</v>
      </c>
      <c r="CH33" s="39">
        <v>0</v>
      </c>
      <c r="CI33" s="39">
        <v>0</v>
      </c>
      <c r="CJ33" s="39">
        <v>0</v>
      </c>
      <c r="CK33" s="39">
        <v>0</v>
      </c>
      <c r="CL33" s="39">
        <v>0</v>
      </c>
      <c r="CM33" s="56">
        <v>44198</v>
      </c>
      <c r="CN33" s="56">
        <v>44198</v>
      </c>
      <c r="CO33" s="48">
        <v>44259</v>
      </c>
      <c r="CP33" s="43">
        <f t="shared" si="5"/>
        <v>61</v>
      </c>
      <c r="CQ33" s="43" t="e">
        <f t="shared" si="0"/>
        <v>#VALUE!</v>
      </c>
      <c r="CR33" s="39" t="s">
        <v>184</v>
      </c>
      <c r="CS33" s="39" t="s">
        <v>317</v>
      </c>
      <c r="CT33" s="86" t="s">
        <v>177</v>
      </c>
      <c r="CU33" s="39">
        <v>1</v>
      </c>
      <c r="CV33" s="39">
        <v>1</v>
      </c>
      <c r="CW33" s="39" t="s">
        <v>318</v>
      </c>
      <c r="CX33" s="39">
        <v>0</v>
      </c>
      <c r="CY33" s="39">
        <v>0</v>
      </c>
      <c r="CZ33" s="39">
        <v>0</v>
      </c>
      <c r="DA33" s="39">
        <v>0</v>
      </c>
      <c r="DB33" s="39">
        <v>0</v>
      </c>
      <c r="DC33" s="39">
        <v>0</v>
      </c>
      <c r="DE33" s="37"/>
      <c r="DF33" s="38">
        <v>1</v>
      </c>
      <c r="DG33" s="38">
        <v>0</v>
      </c>
      <c r="DH33" s="38">
        <v>0</v>
      </c>
      <c r="DI33" s="38">
        <v>0</v>
      </c>
      <c r="DJ33" s="38">
        <v>0</v>
      </c>
      <c r="DK33" s="38">
        <v>0</v>
      </c>
      <c r="DL33" s="38">
        <v>0</v>
      </c>
      <c r="DM33" s="38">
        <v>0</v>
      </c>
      <c r="DN33" s="38">
        <v>0</v>
      </c>
      <c r="DO33" s="38">
        <v>0</v>
      </c>
      <c r="DP33" s="38">
        <v>0</v>
      </c>
      <c r="DQ33" s="38">
        <v>0</v>
      </c>
      <c r="DU33" s="38" t="s">
        <v>319</v>
      </c>
      <c r="DV33" s="38" t="s">
        <v>277</v>
      </c>
      <c r="DZ33" s="38">
        <v>1</v>
      </c>
      <c r="EA33" s="38">
        <v>1</v>
      </c>
      <c r="EB33" s="65" t="str">
        <f t="shared" si="3"/>
        <v>YES!</v>
      </c>
      <c r="EC33" s="110">
        <v>3320</v>
      </c>
      <c r="ED33" s="112" t="s">
        <v>320</v>
      </c>
      <c r="EE33" s="102">
        <v>1713.75</v>
      </c>
      <c r="EF33" s="100">
        <v>1132.5</v>
      </c>
      <c r="EG33" s="100">
        <v>485.25</v>
      </c>
      <c r="EH33" s="100">
        <v>2328.5</v>
      </c>
      <c r="EI33" s="100">
        <v>644</v>
      </c>
      <c r="EJ33" s="100">
        <v>1482.5</v>
      </c>
      <c r="EK33" s="100">
        <v>265.75</v>
      </c>
      <c r="EL33" s="100">
        <v>783</v>
      </c>
      <c r="EM33" s="100">
        <v>2884.5</v>
      </c>
      <c r="EN33" s="101">
        <v>222</v>
      </c>
      <c r="EO33" s="102">
        <v>131839.5</v>
      </c>
      <c r="EP33" s="100">
        <v>96653.5</v>
      </c>
      <c r="EQ33" s="100">
        <v>61990.25</v>
      </c>
      <c r="ER33" s="100">
        <v>141618.75</v>
      </c>
      <c r="ES33" s="100">
        <v>75492.25</v>
      </c>
      <c r="ET33" s="100">
        <v>109542.75</v>
      </c>
      <c r="EU33" s="100">
        <v>63762.5</v>
      </c>
      <c r="EV33" s="100">
        <v>116054.25</v>
      </c>
      <c r="EW33" s="100">
        <v>184010.75</v>
      </c>
      <c r="EX33" s="103">
        <v>33131</v>
      </c>
    </row>
    <row r="34" spans="1:154" s="38" customFormat="1" ht="55.2" x14ac:dyDescent="0.3">
      <c r="A34" s="90">
        <v>3322</v>
      </c>
      <c r="B34" s="63"/>
      <c r="C34" s="62" t="s">
        <v>165</v>
      </c>
      <c r="D34" s="40">
        <v>54</v>
      </c>
      <c r="E34" s="40">
        <v>0</v>
      </c>
      <c r="F34" s="40">
        <v>0</v>
      </c>
      <c r="G34" s="46" t="s">
        <v>150</v>
      </c>
      <c r="H34" s="40" t="s">
        <v>151</v>
      </c>
      <c r="I34" s="40">
        <v>1.7</v>
      </c>
      <c r="J34" s="40">
        <v>133</v>
      </c>
      <c r="K34" s="38">
        <v>1</v>
      </c>
      <c r="L34" s="38">
        <v>1</v>
      </c>
      <c r="M34" s="38">
        <v>0</v>
      </c>
      <c r="N34" s="38">
        <v>0</v>
      </c>
      <c r="O34" s="38">
        <v>0</v>
      </c>
      <c r="P34" s="38">
        <v>1</v>
      </c>
      <c r="Q34" s="38">
        <v>1</v>
      </c>
      <c r="R34" s="38">
        <v>0</v>
      </c>
      <c r="S34" s="38">
        <v>0</v>
      </c>
      <c r="T34" s="38">
        <v>0</v>
      </c>
      <c r="U34" s="38">
        <v>1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75" t="s">
        <v>321</v>
      </c>
      <c r="AD34" s="38">
        <v>0</v>
      </c>
      <c r="AE34" s="38">
        <v>0</v>
      </c>
      <c r="AF34" s="38">
        <v>0</v>
      </c>
      <c r="AG34" s="38">
        <v>1</v>
      </c>
      <c r="AH34" s="38">
        <v>1</v>
      </c>
      <c r="AI34" s="38">
        <v>0</v>
      </c>
      <c r="AJ34" s="37" t="s">
        <v>322</v>
      </c>
      <c r="AK34" s="39">
        <v>100030221</v>
      </c>
      <c r="AL34" s="38" t="str">
        <f t="shared" si="1"/>
        <v>NO</v>
      </c>
      <c r="AM34" s="38">
        <v>0</v>
      </c>
      <c r="AN34" s="38">
        <v>0</v>
      </c>
      <c r="AO34" s="39">
        <v>1</v>
      </c>
      <c r="AP34" s="39">
        <v>0</v>
      </c>
      <c r="AQ34" s="39">
        <v>1</v>
      </c>
      <c r="AR34" s="39">
        <v>1</v>
      </c>
      <c r="AS34" s="39">
        <v>1</v>
      </c>
      <c r="AT34" s="39">
        <v>1</v>
      </c>
      <c r="AU34" s="39">
        <v>1</v>
      </c>
      <c r="AV34" s="39">
        <v>0</v>
      </c>
      <c r="AW34" s="39">
        <v>0</v>
      </c>
      <c r="AX34" s="39">
        <v>0</v>
      </c>
      <c r="AY34" s="39">
        <v>0</v>
      </c>
      <c r="AZ34" s="39">
        <v>1</v>
      </c>
      <c r="BA34" s="39">
        <v>0</v>
      </c>
      <c r="BB34" s="39">
        <v>0</v>
      </c>
      <c r="BC34" s="39">
        <v>0</v>
      </c>
      <c r="BD34" s="39">
        <v>0</v>
      </c>
      <c r="BE34" s="39">
        <v>0</v>
      </c>
      <c r="BF34" s="39">
        <v>0</v>
      </c>
      <c r="BG34" s="39">
        <v>0</v>
      </c>
      <c r="BH34" s="39">
        <v>0</v>
      </c>
      <c r="BI34" s="39">
        <v>0</v>
      </c>
      <c r="BJ34" s="39">
        <v>0</v>
      </c>
      <c r="BK34" s="39">
        <v>0</v>
      </c>
      <c r="BL34" s="39">
        <v>0</v>
      </c>
      <c r="BM34" s="39">
        <v>0</v>
      </c>
      <c r="BN34" s="39">
        <v>0</v>
      </c>
      <c r="BO34" s="39">
        <v>0</v>
      </c>
      <c r="BP34" s="39">
        <v>0</v>
      </c>
      <c r="BQ34" s="39">
        <v>0</v>
      </c>
      <c r="BR34" s="39">
        <v>0</v>
      </c>
      <c r="BS34" s="39">
        <v>0</v>
      </c>
      <c r="BT34" s="39">
        <v>0</v>
      </c>
      <c r="BU34" s="39">
        <v>0</v>
      </c>
      <c r="BV34" s="39">
        <v>0</v>
      </c>
      <c r="BW34" s="39">
        <v>0</v>
      </c>
      <c r="BX34" s="39">
        <v>0</v>
      </c>
      <c r="BY34" s="39">
        <v>0</v>
      </c>
      <c r="BZ34" s="39">
        <v>0</v>
      </c>
      <c r="CA34" s="39">
        <v>0</v>
      </c>
      <c r="CB34" s="39">
        <v>0</v>
      </c>
      <c r="CC34" s="39">
        <v>0</v>
      </c>
      <c r="CD34" s="39">
        <v>0</v>
      </c>
      <c r="CE34" s="39">
        <v>0</v>
      </c>
      <c r="CF34" s="39">
        <v>0</v>
      </c>
      <c r="CG34" s="39">
        <v>0</v>
      </c>
      <c r="CH34" s="39">
        <v>0</v>
      </c>
      <c r="CI34" s="39">
        <v>1</v>
      </c>
      <c r="CJ34" s="39">
        <v>0</v>
      </c>
      <c r="CK34" s="39">
        <v>0</v>
      </c>
      <c r="CL34" s="39">
        <v>0</v>
      </c>
      <c r="CM34" s="56">
        <v>44166</v>
      </c>
      <c r="CN34" s="56">
        <v>44166</v>
      </c>
      <c r="CO34" s="48">
        <v>44259</v>
      </c>
      <c r="CP34" s="43">
        <f t="shared" si="5"/>
        <v>93</v>
      </c>
      <c r="CQ34" s="43" t="e">
        <f t="shared" ref="CQ34:CQ65" si="6">_xlfn.DAYS(CO34,CR34)</f>
        <v>#VALUE!</v>
      </c>
      <c r="CR34" s="39" t="s">
        <v>184</v>
      </c>
      <c r="CS34" s="39" t="s">
        <v>323</v>
      </c>
      <c r="CT34" s="86">
        <v>1</v>
      </c>
      <c r="CU34" s="39">
        <v>0</v>
      </c>
      <c r="CV34" s="39">
        <v>1</v>
      </c>
      <c r="CW34" s="39" t="s">
        <v>324</v>
      </c>
      <c r="CX34" s="39">
        <v>0</v>
      </c>
      <c r="CY34" s="39">
        <v>1</v>
      </c>
      <c r="CZ34" s="39">
        <v>0</v>
      </c>
      <c r="DA34" s="39">
        <v>0</v>
      </c>
      <c r="DB34" s="39">
        <v>0</v>
      </c>
      <c r="DC34" s="39">
        <v>0</v>
      </c>
      <c r="DE34" s="37"/>
      <c r="DF34" s="38">
        <v>1</v>
      </c>
      <c r="DG34" s="38">
        <v>0</v>
      </c>
      <c r="DH34" s="38">
        <v>0</v>
      </c>
      <c r="DI34" s="38">
        <v>0</v>
      </c>
      <c r="DJ34" s="38">
        <v>0</v>
      </c>
      <c r="DK34" s="38">
        <v>0</v>
      </c>
      <c r="DL34" s="38">
        <v>0</v>
      </c>
      <c r="DM34" s="38">
        <v>0</v>
      </c>
      <c r="DN34" s="38">
        <v>0</v>
      </c>
      <c r="DO34" s="38">
        <v>1</v>
      </c>
      <c r="DP34" s="38">
        <v>0</v>
      </c>
      <c r="DQ34" s="38">
        <v>0</v>
      </c>
      <c r="DV34" s="38" t="s">
        <v>277</v>
      </c>
      <c r="DZ34" s="38">
        <v>1</v>
      </c>
      <c r="EA34" s="38">
        <v>1</v>
      </c>
      <c r="EB34" s="65" t="str">
        <f t="shared" si="3"/>
        <v>YES!</v>
      </c>
      <c r="EC34" s="110">
        <v>3322</v>
      </c>
      <c r="ED34" s="112" t="s">
        <v>325</v>
      </c>
      <c r="EE34" s="102">
        <v>1703.75</v>
      </c>
      <c r="EF34" s="100">
        <v>921.5</v>
      </c>
      <c r="EG34" s="100">
        <v>11201.25</v>
      </c>
      <c r="EH34" s="100">
        <v>1505.25</v>
      </c>
      <c r="EI34" s="100">
        <v>28.5</v>
      </c>
      <c r="EJ34" s="100">
        <v>47</v>
      </c>
      <c r="EK34" s="100">
        <v>604.5</v>
      </c>
      <c r="EL34" s="100">
        <v>1584.5</v>
      </c>
      <c r="EM34" s="100">
        <v>1238.75</v>
      </c>
      <c r="EN34" s="101">
        <v>486.75</v>
      </c>
      <c r="EO34" s="102">
        <v>154030.25</v>
      </c>
      <c r="EP34" s="100">
        <v>99126.5</v>
      </c>
      <c r="EQ34" s="100">
        <v>220083</v>
      </c>
      <c r="ER34" s="100">
        <v>126364.75</v>
      </c>
      <c r="ES34" s="100">
        <v>74.75</v>
      </c>
      <c r="ET34" s="100">
        <v>220.5</v>
      </c>
      <c r="EU34" s="100">
        <v>92663.75</v>
      </c>
      <c r="EV34" s="100">
        <v>138767.25</v>
      </c>
      <c r="EW34" s="100">
        <v>95991</v>
      </c>
      <c r="EX34" s="103">
        <v>50602</v>
      </c>
    </row>
    <row r="35" spans="1:154" s="38" customFormat="1" ht="43.2" x14ac:dyDescent="0.3">
      <c r="A35" s="90">
        <v>3323</v>
      </c>
      <c r="B35" s="63"/>
      <c r="C35" s="62" t="s">
        <v>149</v>
      </c>
      <c r="D35" s="40">
        <v>55</v>
      </c>
      <c r="E35" s="40">
        <v>0</v>
      </c>
      <c r="F35" s="40">
        <v>0</v>
      </c>
      <c r="G35" s="46" t="s">
        <v>150</v>
      </c>
      <c r="H35" s="40" t="s">
        <v>151</v>
      </c>
      <c r="I35" s="40"/>
      <c r="J35" s="40">
        <v>131.5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1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1</v>
      </c>
      <c r="Y35" s="38">
        <v>1</v>
      </c>
      <c r="Z35" s="38">
        <v>1</v>
      </c>
      <c r="AA35" s="38">
        <v>0</v>
      </c>
      <c r="AB35" s="38">
        <v>0</v>
      </c>
      <c r="AC35" s="75" t="s">
        <v>326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  <c r="AJ35" s="37" t="s">
        <v>327</v>
      </c>
      <c r="AK35" s="39">
        <v>3850606</v>
      </c>
      <c r="AL35" s="38" t="str">
        <f t="shared" si="1"/>
        <v>NO</v>
      </c>
      <c r="AM35" s="38">
        <v>0</v>
      </c>
      <c r="AN35" s="38">
        <v>0</v>
      </c>
      <c r="AO35" s="39">
        <v>1</v>
      </c>
      <c r="AP35" s="39">
        <v>0</v>
      </c>
      <c r="AQ35" s="39">
        <v>1</v>
      </c>
      <c r="AR35" s="39">
        <v>0</v>
      </c>
      <c r="AS35" s="39">
        <v>0</v>
      </c>
      <c r="AT35" s="39">
        <v>1</v>
      </c>
      <c r="AU35" s="39">
        <v>1</v>
      </c>
      <c r="AV35" s="39">
        <v>1</v>
      </c>
      <c r="AW35" s="39">
        <v>0</v>
      </c>
      <c r="AX35" s="39">
        <v>0</v>
      </c>
      <c r="AY35" s="39">
        <v>0</v>
      </c>
      <c r="AZ35" s="39">
        <v>0</v>
      </c>
      <c r="BA35" s="39">
        <v>0</v>
      </c>
      <c r="BB35" s="39">
        <v>1</v>
      </c>
      <c r="BC35" s="39">
        <v>0</v>
      </c>
      <c r="BD35" s="39">
        <v>0</v>
      </c>
      <c r="BE35" s="39">
        <v>0</v>
      </c>
      <c r="BF35" s="39">
        <v>0</v>
      </c>
      <c r="BG35" s="39">
        <v>0</v>
      </c>
      <c r="BH35" s="39">
        <v>0</v>
      </c>
      <c r="BI35" s="39">
        <v>0</v>
      </c>
      <c r="BJ35" s="39">
        <v>0</v>
      </c>
      <c r="BK35" s="39">
        <v>0</v>
      </c>
      <c r="BL35" s="39">
        <v>0</v>
      </c>
      <c r="BM35" s="39">
        <v>0</v>
      </c>
      <c r="BN35" s="39">
        <v>0</v>
      </c>
      <c r="BO35" s="39">
        <v>0</v>
      </c>
      <c r="BP35" s="39">
        <v>0</v>
      </c>
      <c r="BQ35" s="39">
        <v>0</v>
      </c>
      <c r="BR35" s="39">
        <v>0</v>
      </c>
      <c r="BS35" s="39">
        <v>0</v>
      </c>
      <c r="BT35" s="39">
        <v>0</v>
      </c>
      <c r="BU35" s="39">
        <v>0</v>
      </c>
      <c r="BV35" s="39">
        <v>0</v>
      </c>
      <c r="BW35" s="39">
        <v>0</v>
      </c>
      <c r="BX35" s="39">
        <v>0</v>
      </c>
      <c r="BY35" s="39">
        <v>0</v>
      </c>
      <c r="BZ35" s="39">
        <v>0</v>
      </c>
      <c r="CA35" s="39">
        <v>0</v>
      </c>
      <c r="CB35" s="39">
        <v>0</v>
      </c>
      <c r="CC35" s="39">
        <v>0</v>
      </c>
      <c r="CD35" s="39">
        <v>0</v>
      </c>
      <c r="CE35" s="39">
        <v>0</v>
      </c>
      <c r="CF35" s="39">
        <v>0</v>
      </c>
      <c r="CG35" s="39">
        <v>0</v>
      </c>
      <c r="CH35" s="39">
        <v>1</v>
      </c>
      <c r="CI35" s="39">
        <v>0</v>
      </c>
      <c r="CJ35" s="39">
        <v>0</v>
      </c>
      <c r="CK35" s="39">
        <v>0</v>
      </c>
      <c r="CL35" s="39">
        <v>0</v>
      </c>
      <c r="CM35" s="56">
        <v>44166</v>
      </c>
      <c r="CN35" s="56">
        <v>44166</v>
      </c>
      <c r="CO35" s="48">
        <v>44259</v>
      </c>
      <c r="CP35" s="43">
        <f t="shared" si="5"/>
        <v>93</v>
      </c>
      <c r="CQ35" s="43" t="e">
        <f t="shared" si="6"/>
        <v>#VALUE!</v>
      </c>
      <c r="CR35" s="39" t="s">
        <v>184</v>
      </c>
      <c r="CS35" s="39" t="s">
        <v>328</v>
      </c>
      <c r="CT35" s="86">
        <v>1</v>
      </c>
      <c r="CU35" s="39">
        <v>0</v>
      </c>
      <c r="CV35" s="39">
        <v>0</v>
      </c>
      <c r="CW35" s="39"/>
      <c r="CX35" s="39">
        <v>0</v>
      </c>
      <c r="CY35" s="39">
        <v>0</v>
      </c>
      <c r="CZ35" s="39">
        <v>0</v>
      </c>
      <c r="DA35" s="39">
        <v>0</v>
      </c>
      <c r="DB35" s="39">
        <v>0</v>
      </c>
      <c r="DC35" s="39">
        <v>0</v>
      </c>
      <c r="DE35" s="37"/>
      <c r="DF35" s="38">
        <v>1</v>
      </c>
      <c r="DG35" s="38">
        <v>0</v>
      </c>
      <c r="DH35" s="38">
        <v>0</v>
      </c>
      <c r="DI35" s="38">
        <v>0</v>
      </c>
      <c r="DJ35" s="38">
        <v>0</v>
      </c>
      <c r="DK35" s="38">
        <v>0</v>
      </c>
      <c r="DL35" s="38">
        <v>0</v>
      </c>
      <c r="DM35" s="38">
        <v>0</v>
      </c>
      <c r="DN35" s="38">
        <v>0</v>
      </c>
      <c r="DO35" s="38">
        <v>1</v>
      </c>
      <c r="DP35" s="38">
        <v>0</v>
      </c>
      <c r="DQ35" s="38">
        <v>0</v>
      </c>
      <c r="DZ35" s="38">
        <v>1</v>
      </c>
      <c r="EA35" s="38">
        <v>1</v>
      </c>
      <c r="EB35" s="65" t="str">
        <f t="shared" si="3"/>
        <v>YES!</v>
      </c>
      <c r="EC35" s="110">
        <v>3323</v>
      </c>
      <c r="ED35" s="112" t="s">
        <v>329</v>
      </c>
      <c r="EE35" s="102">
        <v>1172.25</v>
      </c>
      <c r="EF35" s="100">
        <v>435.25</v>
      </c>
      <c r="EG35" s="100">
        <v>1055.25</v>
      </c>
      <c r="EH35" s="100">
        <v>186.25</v>
      </c>
      <c r="EI35" s="100">
        <v>311</v>
      </c>
      <c r="EJ35" s="100">
        <v>299.75</v>
      </c>
      <c r="EK35" s="100">
        <v>184</v>
      </c>
      <c r="EL35" s="100">
        <v>260.25</v>
      </c>
      <c r="EM35" s="100">
        <v>301.25</v>
      </c>
      <c r="EN35" s="101">
        <v>245.5</v>
      </c>
      <c r="EO35" s="102">
        <v>174303.5</v>
      </c>
      <c r="EP35" s="100">
        <v>110687.5</v>
      </c>
      <c r="EQ35" s="100">
        <v>168968.25</v>
      </c>
      <c r="ER35" s="100">
        <v>48504.25</v>
      </c>
      <c r="ES35" s="100">
        <v>85379.5</v>
      </c>
      <c r="ET35" s="100">
        <v>79575</v>
      </c>
      <c r="EU35" s="100">
        <v>101337</v>
      </c>
      <c r="EV35" s="100">
        <v>61349</v>
      </c>
      <c r="EW35" s="100">
        <v>88145.75</v>
      </c>
      <c r="EX35" s="103">
        <v>83502.75</v>
      </c>
    </row>
    <row r="36" spans="1:154" s="38" customFormat="1" ht="43.2" x14ac:dyDescent="0.3">
      <c r="A36" s="90">
        <v>3324</v>
      </c>
      <c r="B36" s="63"/>
      <c r="C36" s="62" t="s">
        <v>149</v>
      </c>
      <c r="D36" s="40">
        <v>46</v>
      </c>
      <c r="E36" s="40">
        <v>0</v>
      </c>
      <c r="F36" s="40">
        <v>0</v>
      </c>
      <c r="G36" s="46" t="s">
        <v>150</v>
      </c>
      <c r="H36" s="40" t="s">
        <v>151</v>
      </c>
      <c r="I36" s="40"/>
      <c r="J36" s="40">
        <v>97.5</v>
      </c>
      <c r="K36" s="38">
        <v>1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1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0</v>
      </c>
      <c r="AB36" s="38">
        <v>0</v>
      </c>
      <c r="AC36" s="75"/>
      <c r="AD36" s="38">
        <v>0</v>
      </c>
      <c r="AE36" s="38">
        <v>0</v>
      </c>
      <c r="AF36" s="38">
        <v>0</v>
      </c>
      <c r="AG36" s="38">
        <v>0</v>
      </c>
      <c r="AH36" s="38">
        <v>0</v>
      </c>
      <c r="AI36" s="38">
        <v>0</v>
      </c>
      <c r="AJ36" s="37" t="s">
        <v>330</v>
      </c>
      <c r="AK36" s="39">
        <v>5991462</v>
      </c>
      <c r="AL36" s="38" t="str">
        <f t="shared" si="1"/>
        <v>NO</v>
      </c>
      <c r="AM36" s="38">
        <v>0</v>
      </c>
      <c r="AN36" s="38">
        <v>0</v>
      </c>
      <c r="AO36" s="39">
        <v>0</v>
      </c>
      <c r="AP36" s="39">
        <v>0</v>
      </c>
      <c r="AQ36" s="39">
        <v>1</v>
      </c>
      <c r="AR36" s="39">
        <v>0</v>
      </c>
      <c r="AS36" s="39">
        <v>0</v>
      </c>
      <c r="AT36" s="39">
        <v>0</v>
      </c>
      <c r="AU36" s="39">
        <v>0</v>
      </c>
      <c r="AV36" s="39">
        <v>1</v>
      </c>
      <c r="AW36" s="39">
        <v>0</v>
      </c>
      <c r="AX36" s="39">
        <v>1</v>
      </c>
      <c r="AY36" s="39">
        <v>0</v>
      </c>
      <c r="AZ36" s="39">
        <v>0</v>
      </c>
      <c r="BA36" s="39">
        <v>0</v>
      </c>
      <c r="BB36" s="39">
        <v>0</v>
      </c>
      <c r="BC36" s="39">
        <v>0</v>
      </c>
      <c r="BD36" s="39">
        <v>0</v>
      </c>
      <c r="BE36" s="39">
        <v>0</v>
      </c>
      <c r="BF36" s="39">
        <v>0</v>
      </c>
      <c r="BG36" s="39">
        <v>0</v>
      </c>
      <c r="BH36" s="39">
        <v>0</v>
      </c>
      <c r="BI36" s="39">
        <v>0</v>
      </c>
      <c r="BJ36" s="39">
        <v>0</v>
      </c>
      <c r="BK36" s="39">
        <v>0</v>
      </c>
      <c r="BL36" s="39">
        <v>0</v>
      </c>
      <c r="BM36" s="39">
        <v>0</v>
      </c>
      <c r="BN36" s="39">
        <v>0</v>
      </c>
      <c r="BO36" s="39">
        <v>0</v>
      </c>
      <c r="BP36" s="39">
        <v>0</v>
      </c>
      <c r="BQ36" s="39">
        <v>0</v>
      </c>
      <c r="BR36" s="39">
        <v>0</v>
      </c>
      <c r="BS36" s="39">
        <v>0</v>
      </c>
      <c r="BT36" s="39">
        <v>0</v>
      </c>
      <c r="BU36" s="39">
        <v>0</v>
      </c>
      <c r="BV36" s="39">
        <v>0</v>
      </c>
      <c r="BW36" s="39">
        <v>0</v>
      </c>
      <c r="BX36" s="39">
        <v>0</v>
      </c>
      <c r="BY36" s="39">
        <v>0</v>
      </c>
      <c r="BZ36" s="39">
        <v>0</v>
      </c>
      <c r="CA36" s="39">
        <v>0</v>
      </c>
      <c r="CB36" s="39">
        <v>0</v>
      </c>
      <c r="CC36" s="39">
        <v>0</v>
      </c>
      <c r="CD36" s="39">
        <v>0</v>
      </c>
      <c r="CE36" s="39">
        <v>0</v>
      </c>
      <c r="CF36" s="39">
        <v>0</v>
      </c>
      <c r="CG36" s="39">
        <v>0</v>
      </c>
      <c r="CH36" s="39">
        <v>0</v>
      </c>
      <c r="CI36" s="39">
        <v>0</v>
      </c>
      <c r="CJ36" s="39">
        <v>0</v>
      </c>
      <c r="CK36" s="39">
        <v>0</v>
      </c>
      <c r="CL36" s="39">
        <v>0</v>
      </c>
      <c r="CM36" s="56">
        <v>44185</v>
      </c>
      <c r="CN36" s="56">
        <v>44185</v>
      </c>
      <c r="CO36" s="48">
        <v>44259</v>
      </c>
      <c r="CP36" s="43">
        <f t="shared" si="5"/>
        <v>74</v>
      </c>
      <c r="CQ36" s="43" t="e">
        <f t="shared" si="6"/>
        <v>#VALUE!</v>
      </c>
      <c r="CR36" s="39" t="s">
        <v>184</v>
      </c>
      <c r="CS36" s="39" t="s">
        <v>331</v>
      </c>
      <c r="CT36" s="86">
        <v>1</v>
      </c>
      <c r="CU36" s="39">
        <v>0</v>
      </c>
      <c r="CV36" s="39">
        <v>1</v>
      </c>
      <c r="CW36" s="39" t="s">
        <v>332</v>
      </c>
      <c r="CX36" s="39">
        <v>0</v>
      </c>
      <c r="CY36" s="39">
        <v>1</v>
      </c>
      <c r="CZ36" s="39">
        <v>0</v>
      </c>
      <c r="DA36" s="39">
        <v>0</v>
      </c>
      <c r="DB36" s="39">
        <v>0</v>
      </c>
      <c r="DC36" s="39">
        <v>0</v>
      </c>
      <c r="DE36" s="37"/>
      <c r="DF36" s="38">
        <v>1</v>
      </c>
      <c r="DG36" s="38">
        <v>0</v>
      </c>
      <c r="DH36" s="38">
        <v>0</v>
      </c>
      <c r="DI36" s="38">
        <v>0</v>
      </c>
      <c r="DJ36" s="38">
        <v>0</v>
      </c>
      <c r="DK36" s="38">
        <v>0</v>
      </c>
      <c r="DL36" s="38">
        <v>0</v>
      </c>
      <c r="DM36" s="38">
        <v>0</v>
      </c>
      <c r="DN36" s="38">
        <v>0</v>
      </c>
      <c r="DO36" s="38">
        <v>0</v>
      </c>
      <c r="DP36" s="38">
        <v>0</v>
      </c>
      <c r="DQ36" s="38">
        <v>0</v>
      </c>
      <c r="DZ36" s="38">
        <v>1</v>
      </c>
      <c r="EA36" s="38">
        <v>1</v>
      </c>
      <c r="EB36" s="65" t="str">
        <f t="shared" si="3"/>
        <v>YES!</v>
      </c>
      <c r="EC36" s="110">
        <v>3324</v>
      </c>
      <c r="ED36" s="112" t="s">
        <v>333</v>
      </c>
      <c r="EE36" s="102">
        <v>205.5</v>
      </c>
      <c r="EF36" s="100">
        <v>139.5</v>
      </c>
      <c r="EG36" s="100">
        <v>828</v>
      </c>
      <c r="EH36" s="100">
        <v>62.25</v>
      </c>
      <c r="EI36" s="100">
        <v>747</v>
      </c>
      <c r="EJ36" s="100">
        <v>481</v>
      </c>
      <c r="EK36" s="100">
        <v>163.5</v>
      </c>
      <c r="EL36" s="100">
        <v>1048.5</v>
      </c>
      <c r="EM36" s="100">
        <v>1124.75</v>
      </c>
      <c r="EN36" s="101">
        <v>694.25</v>
      </c>
      <c r="EO36" s="102">
        <v>29042.5</v>
      </c>
      <c r="EP36" s="100">
        <v>8420.5</v>
      </c>
      <c r="EQ36" s="100">
        <v>106150.75</v>
      </c>
      <c r="ER36" s="100">
        <v>11227.25</v>
      </c>
      <c r="ES36" s="100">
        <v>140056.5</v>
      </c>
      <c r="ET36" s="100">
        <v>98418.75</v>
      </c>
      <c r="EU36" s="100">
        <v>70178</v>
      </c>
      <c r="EV36" s="100">
        <v>173119.75</v>
      </c>
      <c r="EW36" s="100">
        <v>149510.75</v>
      </c>
      <c r="EX36" s="103">
        <v>127266.25</v>
      </c>
    </row>
    <row r="37" spans="1:154" s="38" customFormat="1" ht="43.2" x14ac:dyDescent="0.3">
      <c r="A37" s="90">
        <v>3339</v>
      </c>
      <c r="B37" s="63"/>
      <c r="C37" s="62" t="s">
        <v>149</v>
      </c>
      <c r="D37" s="40">
        <v>60</v>
      </c>
      <c r="E37" s="40">
        <v>0</v>
      </c>
      <c r="F37" s="40">
        <v>0</v>
      </c>
      <c r="G37" s="46" t="s">
        <v>150</v>
      </c>
      <c r="H37" s="40" t="s">
        <v>151</v>
      </c>
      <c r="I37" s="40"/>
      <c r="J37" s="40">
        <v>90.9</v>
      </c>
      <c r="K37" s="38">
        <v>1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1</v>
      </c>
      <c r="R37" s="38">
        <v>0</v>
      </c>
      <c r="S37" s="38">
        <v>0</v>
      </c>
      <c r="T37" s="38">
        <v>1</v>
      </c>
      <c r="U37" s="38">
        <v>1</v>
      </c>
      <c r="V37" s="38">
        <v>0</v>
      </c>
      <c r="W37" s="38">
        <v>0</v>
      </c>
      <c r="X37" s="38">
        <v>0</v>
      </c>
      <c r="Y37" s="38">
        <v>0</v>
      </c>
      <c r="Z37" s="38">
        <v>0</v>
      </c>
      <c r="AA37" s="38">
        <v>0</v>
      </c>
      <c r="AB37" s="38">
        <v>0</v>
      </c>
      <c r="AC37" s="75" t="s">
        <v>334</v>
      </c>
      <c r="AD37" s="38">
        <v>0</v>
      </c>
      <c r="AE37" s="38">
        <v>0</v>
      </c>
      <c r="AF37" s="38">
        <v>1</v>
      </c>
      <c r="AG37" s="38">
        <v>0</v>
      </c>
      <c r="AH37" s="38">
        <v>0</v>
      </c>
      <c r="AI37" s="38">
        <v>0</v>
      </c>
      <c r="AJ37" s="37" t="s">
        <v>335</v>
      </c>
      <c r="AK37" s="39">
        <v>14132874</v>
      </c>
      <c r="AL37" s="38" t="str">
        <f t="shared" si="1"/>
        <v>NO</v>
      </c>
      <c r="AM37" s="38">
        <v>0</v>
      </c>
      <c r="AN37" s="38">
        <v>0</v>
      </c>
      <c r="AO37" s="39">
        <v>1</v>
      </c>
      <c r="AP37" s="39">
        <v>0</v>
      </c>
      <c r="AQ37" s="39">
        <v>1</v>
      </c>
      <c r="AR37" s="39">
        <v>1</v>
      </c>
      <c r="AS37" s="39">
        <v>1</v>
      </c>
      <c r="AT37" s="39">
        <v>1</v>
      </c>
      <c r="AU37" s="39">
        <v>0</v>
      </c>
      <c r="AV37" s="39">
        <v>1</v>
      </c>
      <c r="AW37" s="39">
        <v>0</v>
      </c>
      <c r="AX37" s="39">
        <v>1</v>
      </c>
      <c r="AY37" s="39">
        <v>0</v>
      </c>
      <c r="AZ37" s="39">
        <v>1</v>
      </c>
      <c r="BA37" s="39">
        <v>0</v>
      </c>
      <c r="BB37" s="39">
        <v>0</v>
      </c>
      <c r="BC37" s="39">
        <v>0</v>
      </c>
      <c r="BD37" s="39">
        <v>0</v>
      </c>
      <c r="BE37" s="39">
        <v>0</v>
      </c>
      <c r="BF37" s="39">
        <v>0</v>
      </c>
      <c r="BG37" s="39">
        <v>0</v>
      </c>
      <c r="BH37" s="39">
        <v>0</v>
      </c>
      <c r="BI37" s="39">
        <v>0</v>
      </c>
      <c r="BJ37" s="39">
        <v>0</v>
      </c>
      <c r="BK37" s="39">
        <v>0</v>
      </c>
      <c r="BL37" s="39">
        <v>0</v>
      </c>
      <c r="BM37" s="39">
        <v>0</v>
      </c>
      <c r="BN37" s="39">
        <v>0</v>
      </c>
      <c r="BO37" s="39">
        <v>0</v>
      </c>
      <c r="BP37" s="39">
        <v>0</v>
      </c>
      <c r="BQ37" s="39">
        <v>0</v>
      </c>
      <c r="BR37" s="39">
        <v>0</v>
      </c>
      <c r="BS37" s="39">
        <v>0</v>
      </c>
      <c r="BT37" s="39">
        <v>0</v>
      </c>
      <c r="BU37" s="39">
        <v>1</v>
      </c>
      <c r="BV37" s="39">
        <v>0</v>
      </c>
      <c r="BW37" s="39">
        <v>0</v>
      </c>
      <c r="BX37" s="39">
        <v>0</v>
      </c>
      <c r="BY37" s="39">
        <v>0</v>
      </c>
      <c r="BZ37" s="39">
        <v>0</v>
      </c>
      <c r="CA37" s="39">
        <v>0</v>
      </c>
      <c r="CB37" s="39">
        <v>0</v>
      </c>
      <c r="CC37" s="39">
        <v>0</v>
      </c>
      <c r="CD37" s="39">
        <v>0</v>
      </c>
      <c r="CE37" s="39">
        <v>0</v>
      </c>
      <c r="CF37" s="39">
        <v>0</v>
      </c>
      <c r="CG37" s="39">
        <v>0</v>
      </c>
      <c r="CH37" s="39">
        <v>0</v>
      </c>
      <c r="CI37" s="39">
        <v>0</v>
      </c>
      <c r="CJ37" s="39">
        <v>0</v>
      </c>
      <c r="CK37" s="39">
        <v>0</v>
      </c>
      <c r="CL37" s="39">
        <v>0</v>
      </c>
      <c r="CM37" s="56" t="s">
        <v>336</v>
      </c>
      <c r="CN37" s="56">
        <v>44122</v>
      </c>
      <c r="CO37" s="48">
        <v>44266</v>
      </c>
      <c r="CP37" s="43">
        <f t="shared" si="5"/>
        <v>144</v>
      </c>
      <c r="CQ37" s="43" t="e">
        <f t="shared" si="6"/>
        <v>#VALUE!</v>
      </c>
      <c r="CR37" s="39" t="s">
        <v>184</v>
      </c>
      <c r="CS37" s="39" t="s">
        <v>184</v>
      </c>
      <c r="CT37" s="86"/>
      <c r="CU37" s="39">
        <v>1</v>
      </c>
      <c r="CV37" s="39">
        <v>1</v>
      </c>
      <c r="CW37" s="39" t="s">
        <v>337</v>
      </c>
      <c r="CX37" s="39">
        <v>0</v>
      </c>
      <c r="CY37" s="39">
        <v>1</v>
      </c>
      <c r="CZ37" s="39">
        <v>0</v>
      </c>
      <c r="DA37" s="39">
        <v>0</v>
      </c>
      <c r="DB37" s="39">
        <v>0</v>
      </c>
      <c r="DC37" s="39">
        <v>0</v>
      </c>
      <c r="DE37" s="37"/>
      <c r="DF37" s="38">
        <v>1</v>
      </c>
      <c r="DG37" s="38">
        <v>0</v>
      </c>
      <c r="DH37" s="38">
        <v>0</v>
      </c>
      <c r="DI37" s="38">
        <v>0</v>
      </c>
      <c r="DJ37" s="38">
        <v>0</v>
      </c>
      <c r="DK37" s="38">
        <v>0</v>
      </c>
      <c r="DL37" s="38">
        <v>0</v>
      </c>
      <c r="DM37" s="38">
        <v>0</v>
      </c>
      <c r="DN37" s="38">
        <v>0</v>
      </c>
      <c r="DO37" s="38">
        <v>0</v>
      </c>
      <c r="DP37" s="38">
        <v>0</v>
      </c>
      <c r="DQ37" s="38">
        <v>0</v>
      </c>
      <c r="DV37" s="38" t="s">
        <v>277</v>
      </c>
      <c r="DZ37" s="38">
        <v>1</v>
      </c>
      <c r="EA37" s="38">
        <v>1</v>
      </c>
      <c r="EB37" s="65" t="str">
        <f t="shared" si="3"/>
        <v>YES!</v>
      </c>
      <c r="EC37" s="110">
        <v>3339</v>
      </c>
      <c r="ED37" s="112" t="s">
        <v>338</v>
      </c>
      <c r="EE37" s="102">
        <v>2327.5</v>
      </c>
      <c r="EF37" s="100">
        <v>1217.5</v>
      </c>
      <c r="EG37" s="100">
        <v>2915.25</v>
      </c>
      <c r="EH37" s="100">
        <v>359</v>
      </c>
      <c r="EI37" s="100">
        <v>786.25</v>
      </c>
      <c r="EJ37" s="100">
        <v>984.75</v>
      </c>
      <c r="EK37" s="100">
        <v>1652.75</v>
      </c>
      <c r="EL37" s="100">
        <v>961.75</v>
      </c>
      <c r="EM37" s="100">
        <v>846.25</v>
      </c>
      <c r="EN37" s="101">
        <v>500.25</v>
      </c>
      <c r="EO37" s="102">
        <v>42543</v>
      </c>
      <c r="EP37" s="100">
        <v>22916.5</v>
      </c>
      <c r="EQ37" s="100">
        <v>83789.75</v>
      </c>
      <c r="ER37" s="100">
        <v>53416.75</v>
      </c>
      <c r="ES37" s="100">
        <v>118773.5</v>
      </c>
      <c r="ET37" s="100">
        <v>145619.75</v>
      </c>
      <c r="EU37" s="100">
        <v>36279.25</v>
      </c>
      <c r="EV37" s="100">
        <v>171429.25</v>
      </c>
      <c r="EW37" s="100">
        <v>150600</v>
      </c>
      <c r="EX37" s="103">
        <v>113612.5</v>
      </c>
    </row>
    <row r="38" spans="1:154" s="38" customFormat="1" ht="43.2" x14ac:dyDescent="0.3">
      <c r="A38" s="36">
        <v>3341</v>
      </c>
      <c r="B38" s="63"/>
      <c r="C38" s="62" t="s">
        <v>149</v>
      </c>
      <c r="D38" s="40">
        <v>50</v>
      </c>
      <c r="E38" s="40">
        <v>0</v>
      </c>
      <c r="F38" s="40">
        <v>0</v>
      </c>
      <c r="G38" s="46" t="s">
        <v>150</v>
      </c>
      <c r="H38" s="40" t="s">
        <v>339</v>
      </c>
      <c r="I38" s="40">
        <v>1.6</v>
      </c>
      <c r="J38" s="40">
        <v>68.900000000000006</v>
      </c>
      <c r="K38" s="38">
        <v>0</v>
      </c>
      <c r="L38" s="38">
        <v>0</v>
      </c>
      <c r="M38" s="38">
        <v>0</v>
      </c>
      <c r="N38" s="38">
        <v>0</v>
      </c>
      <c r="O38" s="38">
        <v>1</v>
      </c>
      <c r="P38" s="38">
        <v>0</v>
      </c>
      <c r="Q38" s="38">
        <v>0</v>
      </c>
      <c r="R38" s="38">
        <v>0</v>
      </c>
      <c r="S38" s="38">
        <v>0</v>
      </c>
      <c r="T38" s="38">
        <v>0</v>
      </c>
      <c r="U38" s="38">
        <v>1</v>
      </c>
      <c r="V38" s="38">
        <v>0</v>
      </c>
      <c r="W38" s="38">
        <v>0</v>
      </c>
      <c r="X38" s="38">
        <v>0</v>
      </c>
      <c r="Y38" s="38">
        <v>0</v>
      </c>
      <c r="Z38" s="38">
        <v>0</v>
      </c>
      <c r="AA38" s="38">
        <v>0</v>
      </c>
      <c r="AB38" s="38">
        <v>0</v>
      </c>
      <c r="AC38" s="70" t="s">
        <v>340</v>
      </c>
      <c r="AD38" s="38">
        <v>0</v>
      </c>
      <c r="AE38" s="38">
        <v>0</v>
      </c>
      <c r="AF38" s="38">
        <v>0</v>
      </c>
      <c r="AG38" s="38">
        <v>0</v>
      </c>
      <c r="AH38" s="38">
        <v>0</v>
      </c>
      <c r="AI38" s="38">
        <v>0</v>
      </c>
      <c r="AJ38" s="37" t="s">
        <v>341</v>
      </c>
      <c r="AK38" s="39">
        <v>51529475</v>
      </c>
      <c r="AL38" s="38" t="str">
        <f t="shared" si="1"/>
        <v>NO</v>
      </c>
      <c r="AM38" s="38">
        <v>0</v>
      </c>
      <c r="AN38" s="38">
        <v>0</v>
      </c>
      <c r="AO38" s="39">
        <v>1</v>
      </c>
      <c r="AP38" s="39">
        <v>0</v>
      </c>
      <c r="AQ38" s="39">
        <v>1</v>
      </c>
      <c r="AR38" s="39">
        <v>0</v>
      </c>
      <c r="AS38" s="39">
        <v>0</v>
      </c>
      <c r="AT38" s="39">
        <v>0</v>
      </c>
      <c r="AU38" s="39">
        <v>1</v>
      </c>
      <c r="AV38" s="39">
        <v>1</v>
      </c>
      <c r="AW38" s="39">
        <v>0</v>
      </c>
      <c r="AX38" s="39">
        <v>0</v>
      </c>
      <c r="AY38" s="39">
        <v>0</v>
      </c>
      <c r="AZ38" s="39">
        <v>1</v>
      </c>
      <c r="BA38" s="39">
        <v>0</v>
      </c>
      <c r="BB38" s="39">
        <v>1</v>
      </c>
      <c r="BC38" s="39">
        <v>0</v>
      </c>
      <c r="BD38" s="39">
        <v>0</v>
      </c>
      <c r="BE38" s="39">
        <v>0</v>
      </c>
      <c r="BF38" s="39">
        <v>0</v>
      </c>
      <c r="BG38" s="39">
        <v>0</v>
      </c>
      <c r="BH38" s="39">
        <v>0</v>
      </c>
      <c r="BI38" s="39">
        <v>0</v>
      </c>
      <c r="BJ38" s="39">
        <v>0</v>
      </c>
      <c r="BK38" s="39">
        <v>0</v>
      </c>
      <c r="BL38" s="39">
        <v>0</v>
      </c>
      <c r="BM38" s="39">
        <v>0</v>
      </c>
      <c r="BN38" s="39">
        <v>0</v>
      </c>
      <c r="BO38" s="39">
        <v>1</v>
      </c>
      <c r="BP38" s="39">
        <v>1</v>
      </c>
      <c r="BQ38" s="39">
        <v>0</v>
      </c>
      <c r="BR38" s="39">
        <v>0</v>
      </c>
      <c r="BS38" s="39">
        <v>1</v>
      </c>
      <c r="BT38" s="39">
        <v>1</v>
      </c>
      <c r="BU38" s="39">
        <v>0</v>
      </c>
      <c r="BV38" s="39">
        <v>0</v>
      </c>
      <c r="BW38" s="39">
        <v>0</v>
      </c>
      <c r="BX38" s="39">
        <v>0</v>
      </c>
      <c r="BY38" s="39">
        <v>0</v>
      </c>
      <c r="BZ38" s="39">
        <v>0</v>
      </c>
      <c r="CA38" s="39">
        <v>0</v>
      </c>
      <c r="CB38" s="39">
        <v>0</v>
      </c>
      <c r="CC38" s="39">
        <v>0</v>
      </c>
      <c r="CD38" s="39">
        <v>0</v>
      </c>
      <c r="CE38" s="39">
        <v>0</v>
      </c>
      <c r="CF38" s="39">
        <v>0</v>
      </c>
      <c r="CG38" s="39">
        <v>0</v>
      </c>
      <c r="CH38" s="39">
        <v>0</v>
      </c>
      <c r="CI38" s="39">
        <v>0</v>
      </c>
      <c r="CJ38" s="39">
        <v>0</v>
      </c>
      <c r="CK38" s="39">
        <v>0</v>
      </c>
      <c r="CL38" s="39">
        <v>0</v>
      </c>
      <c r="CM38" s="56">
        <v>44195</v>
      </c>
      <c r="CN38" s="56">
        <v>44195</v>
      </c>
      <c r="CO38" s="48">
        <v>44266</v>
      </c>
      <c r="CP38" s="43">
        <f t="shared" si="5"/>
        <v>71</v>
      </c>
      <c r="CQ38" s="43" t="e">
        <f t="shared" si="6"/>
        <v>#VALUE!</v>
      </c>
      <c r="CR38" s="39" t="s">
        <v>184</v>
      </c>
      <c r="CS38" s="39" t="s">
        <v>342</v>
      </c>
      <c r="CT38" s="86">
        <v>1</v>
      </c>
      <c r="CU38" s="39">
        <v>0</v>
      </c>
      <c r="CV38" s="39">
        <v>0</v>
      </c>
      <c r="CW38" s="39"/>
      <c r="CX38" s="39">
        <v>0</v>
      </c>
      <c r="CY38" s="39">
        <v>0</v>
      </c>
      <c r="CZ38" s="39">
        <v>0</v>
      </c>
      <c r="DA38" s="39">
        <v>0</v>
      </c>
      <c r="DB38" s="39">
        <v>0</v>
      </c>
      <c r="DC38" s="39">
        <v>0</v>
      </c>
      <c r="DD38" s="38">
        <v>0</v>
      </c>
      <c r="DE38" s="37">
        <v>0</v>
      </c>
      <c r="DF38" s="38">
        <v>0</v>
      </c>
      <c r="DG38" s="38">
        <v>0</v>
      </c>
      <c r="DH38" s="38">
        <v>0</v>
      </c>
      <c r="DI38" s="38">
        <v>0</v>
      </c>
      <c r="DJ38" s="38">
        <v>1</v>
      </c>
      <c r="DK38" s="38">
        <v>0</v>
      </c>
      <c r="DL38" s="38">
        <v>0</v>
      </c>
      <c r="DM38" s="38">
        <v>0</v>
      </c>
      <c r="DN38" s="38">
        <v>0</v>
      </c>
      <c r="DO38" s="38">
        <v>0</v>
      </c>
      <c r="DP38" s="38">
        <v>0</v>
      </c>
      <c r="DQ38" s="38">
        <v>0</v>
      </c>
      <c r="DZ38" s="38">
        <v>2</v>
      </c>
      <c r="EA38" s="38">
        <v>4</v>
      </c>
      <c r="EB38" s="65" t="str">
        <f t="shared" si="3"/>
        <v>YES!</v>
      </c>
      <c r="EC38" s="110">
        <v>3341</v>
      </c>
      <c r="ED38" s="112" t="s">
        <v>343</v>
      </c>
      <c r="EE38" s="102">
        <v>4118.25</v>
      </c>
      <c r="EF38" s="100">
        <v>2824.25</v>
      </c>
      <c r="EG38" s="100">
        <v>4514.75</v>
      </c>
      <c r="EH38" s="100">
        <v>266.75</v>
      </c>
      <c r="EI38" s="100">
        <v>643</v>
      </c>
      <c r="EJ38" s="100">
        <v>950.5</v>
      </c>
      <c r="EK38" s="100">
        <v>705.5</v>
      </c>
      <c r="EL38" s="100">
        <v>408.5</v>
      </c>
      <c r="EM38" s="100">
        <v>601.25</v>
      </c>
      <c r="EN38" s="101">
        <v>764.75</v>
      </c>
      <c r="EO38" s="102">
        <v>28486.25</v>
      </c>
      <c r="EP38" s="100">
        <v>13434</v>
      </c>
      <c r="EQ38" s="100">
        <v>71599.25</v>
      </c>
      <c r="ER38" s="100">
        <v>62651.75</v>
      </c>
      <c r="ES38" s="100">
        <v>81125</v>
      </c>
      <c r="ET38" s="100">
        <v>87085.5</v>
      </c>
      <c r="EU38" s="100">
        <v>65016</v>
      </c>
      <c r="EV38" s="100">
        <v>38125.75</v>
      </c>
      <c r="EW38" s="100">
        <v>62006.75</v>
      </c>
      <c r="EX38" s="103">
        <v>109778</v>
      </c>
    </row>
    <row r="39" spans="1:154" s="38" customFormat="1" ht="69" x14ac:dyDescent="0.3">
      <c r="A39" s="36">
        <v>3346</v>
      </c>
      <c r="B39" s="63"/>
      <c r="C39" s="62" t="s">
        <v>149</v>
      </c>
      <c r="D39" s="40">
        <v>48</v>
      </c>
      <c r="E39" s="40">
        <v>0</v>
      </c>
      <c r="F39" s="40">
        <v>0</v>
      </c>
      <c r="G39" s="46" t="s">
        <v>150</v>
      </c>
      <c r="H39" s="40" t="s">
        <v>151</v>
      </c>
      <c r="I39" s="40">
        <v>1.702</v>
      </c>
      <c r="J39" s="40">
        <v>87.7</v>
      </c>
      <c r="K39" s="38">
        <v>1</v>
      </c>
      <c r="L39" s="38">
        <v>0</v>
      </c>
      <c r="M39" s="38">
        <v>1</v>
      </c>
      <c r="N39" s="38">
        <v>0</v>
      </c>
      <c r="O39" s="38">
        <v>1</v>
      </c>
      <c r="P39" s="38">
        <v>0</v>
      </c>
      <c r="Q39" s="38">
        <v>0</v>
      </c>
      <c r="R39" s="38">
        <v>1</v>
      </c>
      <c r="S39" s="38">
        <v>0</v>
      </c>
      <c r="T39" s="38">
        <v>0</v>
      </c>
      <c r="U39" s="38">
        <v>1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  <c r="AA39" s="38">
        <v>0</v>
      </c>
      <c r="AB39" s="38">
        <v>0</v>
      </c>
      <c r="AC39" s="70" t="s">
        <v>344</v>
      </c>
      <c r="AD39" s="38">
        <v>0</v>
      </c>
      <c r="AE39" s="38">
        <v>0</v>
      </c>
      <c r="AF39" s="38">
        <v>0</v>
      </c>
      <c r="AG39" s="38">
        <v>1</v>
      </c>
      <c r="AH39" s="38">
        <v>1</v>
      </c>
      <c r="AI39" s="38">
        <v>0</v>
      </c>
      <c r="AJ39" s="37" t="s">
        <v>345</v>
      </c>
      <c r="AK39" s="39">
        <v>2163433</v>
      </c>
      <c r="AL39" s="38" t="str">
        <f t="shared" si="1"/>
        <v>NO</v>
      </c>
      <c r="AM39" s="38">
        <v>0</v>
      </c>
      <c r="AN39" s="38">
        <v>0</v>
      </c>
      <c r="AO39" s="39">
        <v>0</v>
      </c>
      <c r="AP39" s="39">
        <v>0</v>
      </c>
      <c r="AQ39" s="39">
        <v>1</v>
      </c>
      <c r="AR39" s="39">
        <v>1</v>
      </c>
      <c r="AS39" s="39">
        <v>0</v>
      </c>
      <c r="AT39" s="39">
        <v>1</v>
      </c>
      <c r="AU39" s="39">
        <v>1</v>
      </c>
      <c r="AV39" s="39">
        <v>0</v>
      </c>
      <c r="AW39" s="39">
        <v>0</v>
      </c>
      <c r="AX39" s="39">
        <v>0</v>
      </c>
      <c r="AY39" s="39">
        <v>1</v>
      </c>
      <c r="AZ39" s="39">
        <v>1</v>
      </c>
      <c r="BA39" s="39">
        <v>0</v>
      </c>
      <c r="BB39" s="39">
        <v>0</v>
      </c>
      <c r="BC39" s="39">
        <v>0</v>
      </c>
      <c r="BD39" s="39">
        <v>0</v>
      </c>
      <c r="BE39" s="39">
        <v>0</v>
      </c>
      <c r="BF39" s="39">
        <v>1</v>
      </c>
      <c r="BG39" s="39">
        <v>1</v>
      </c>
      <c r="BH39" s="39">
        <v>0</v>
      </c>
      <c r="BI39" s="39">
        <v>0</v>
      </c>
      <c r="BJ39" s="39">
        <v>0</v>
      </c>
      <c r="BK39" s="39">
        <v>0</v>
      </c>
      <c r="BL39" s="39">
        <v>0</v>
      </c>
      <c r="BM39" s="39">
        <v>1</v>
      </c>
      <c r="BN39" s="39">
        <v>0</v>
      </c>
      <c r="BO39" s="39">
        <v>0</v>
      </c>
      <c r="BP39" s="39">
        <v>0</v>
      </c>
      <c r="BQ39" s="39">
        <v>0</v>
      </c>
      <c r="BR39" s="39">
        <v>1</v>
      </c>
      <c r="BS39" s="39">
        <v>0</v>
      </c>
      <c r="BT39" s="39">
        <v>0</v>
      </c>
      <c r="BU39" s="39">
        <v>0</v>
      </c>
      <c r="BV39" s="39">
        <v>1</v>
      </c>
      <c r="BW39" s="39">
        <v>0</v>
      </c>
      <c r="BX39" s="39">
        <v>0</v>
      </c>
      <c r="BY39" s="39">
        <v>0</v>
      </c>
      <c r="BZ39" s="39">
        <v>0</v>
      </c>
      <c r="CA39" s="39">
        <v>0</v>
      </c>
      <c r="CB39" s="39">
        <v>1</v>
      </c>
      <c r="CC39" s="39">
        <v>0</v>
      </c>
      <c r="CD39" s="39">
        <v>1</v>
      </c>
      <c r="CE39" s="39">
        <v>0</v>
      </c>
      <c r="CF39" s="39">
        <v>0</v>
      </c>
      <c r="CG39" s="39">
        <v>0</v>
      </c>
      <c r="CH39" s="39">
        <v>0</v>
      </c>
      <c r="CI39" s="39">
        <v>0</v>
      </c>
      <c r="CJ39" s="39">
        <v>0</v>
      </c>
      <c r="CK39" s="39">
        <v>0</v>
      </c>
      <c r="CL39" s="39">
        <v>0</v>
      </c>
      <c r="CM39" s="56">
        <v>44153</v>
      </c>
      <c r="CN39" s="56">
        <v>44153</v>
      </c>
      <c r="CO39" s="48">
        <v>44267</v>
      </c>
      <c r="CP39" s="43">
        <f t="shared" si="5"/>
        <v>114</v>
      </c>
      <c r="CQ39" s="43" t="e">
        <f t="shared" si="6"/>
        <v>#VALUE!</v>
      </c>
      <c r="CR39" s="39" t="s">
        <v>184</v>
      </c>
      <c r="CS39" s="39" t="s">
        <v>346</v>
      </c>
      <c r="CT39" s="86">
        <v>2</v>
      </c>
      <c r="CU39" s="39">
        <v>1</v>
      </c>
      <c r="CV39" s="39">
        <v>1</v>
      </c>
      <c r="CW39" s="39"/>
      <c r="CX39" s="39">
        <v>0</v>
      </c>
      <c r="CY39" s="39">
        <v>0</v>
      </c>
      <c r="CZ39" s="39">
        <v>1</v>
      </c>
      <c r="DA39" s="39">
        <v>0</v>
      </c>
      <c r="DB39" s="39">
        <v>1</v>
      </c>
      <c r="DC39" s="39">
        <v>0</v>
      </c>
      <c r="DD39" s="38">
        <v>0</v>
      </c>
      <c r="DE39" s="37">
        <v>0</v>
      </c>
      <c r="DF39" s="38">
        <v>1</v>
      </c>
      <c r="DG39" s="38">
        <v>0</v>
      </c>
      <c r="DH39" s="38">
        <v>0</v>
      </c>
      <c r="DI39" s="38">
        <v>1</v>
      </c>
      <c r="DJ39" s="38">
        <v>0</v>
      </c>
      <c r="DK39" s="38">
        <v>0</v>
      </c>
      <c r="DL39" s="38">
        <v>0</v>
      </c>
      <c r="DM39" s="38">
        <v>0</v>
      </c>
      <c r="DN39" s="38">
        <v>0</v>
      </c>
      <c r="DO39" s="38">
        <v>0</v>
      </c>
      <c r="DP39" s="38">
        <v>0</v>
      </c>
      <c r="DQ39" s="38">
        <v>0</v>
      </c>
      <c r="DU39" s="38" t="s">
        <v>277</v>
      </c>
      <c r="DV39" s="38" t="s">
        <v>277</v>
      </c>
      <c r="DZ39" s="38">
        <v>7</v>
      </c>
      <c r="EA39" s="38">
        <v>3</v>
      </c>
      <c r="EB39" s="65" t="str">
        <f t="shared" si="3"/>
        <v>YES!</v>
      </c>
      <c r="EC39" s="110">
        <v>3346</v>
      </c>
      <c r="ED39" s="112" t="s">
        <v>347</v>
      </c>
      <c r="EE39" s="102">
        <v>322.5</v>
      </c>
      <c r="EF39" s="100">
        <v>249</v>
      </c>
      <c r="EG39" s="100">
        <v>630.5</v>
      </c>
      <c r="EH39" s="100">
        <v>53.5</v>
      </c>
      <c r="EI39" s="100">
        <v>258.25</v>
      </c>
      <c r="EJ39" s="100">
        <v>339.75</v>
      </c>
      <c r="EK39" s="100">
        <v>36.25</v>
      </c>
      <c r="EL39" s="100">
        <v>26.75</v>
      </c>
      <c r="EM39" s="100">
        <v>50.75</v>
      </c>
      <c r="EN39" s="101">
        <v>82.75</v>
      </c>
      <c r="EO39" s="102">
        <v>129343.75</v>
      </c>
      <c r="EP39" s="100">
        <v>80787.5</v>
      </c>
      <c r="EQ39" s="100">
        <v>211443.5</v>
      </c>
      <c r="ER39" s="100">
        <v>65057</v>
      </c>
      <c r="ES39" s="100">
        <v>176434.5</v>
      </c>
      <c r="ET39" s="100">
        <v>167895.5</v>
      </c>
      <c r="EU39" s="100">
        <v>635.25</v>
      </c>
      <c r="EV39" s="100">
        <v>190.5</v>
      </c>
      <c r="EW39" s="100">
        <v>74.75</v>
      </c>
      <c r="EX39" s="103">
        <v>108.5</v>
      </c>
    </row>
    <row r="40" spans="1:154" s="38" customFormat="1" ht="43.2" x14ac:dyDescent="0.3">
      <c r="A40" s="90">
        <v>3362</v>
      </c>
      <c r="B40" s="63"/>
      <c r="C40" s="62" t="s">
        <v>149</v>
      </c>
      <c r="D40" s="40">
        <v>32</v>
      </c>
      <c r="E40" s="40">
        <v>0</v>
      </c>
      <c r="F40" s="40">
        <v>0</v>
      </c>
      <c r="G40" s="40" t="s">
        <v>150</v>
      </c>
      <c r="H40" s="40" t="s">
        <v>151</v>
      </c>
      <c r="I40" s="40">
        <v>1.6</v>
      </c>
      <c r="J40" s="40">
        <v>159</v>
      </c>
      <c r="K40" s="38">
        <v>0</v>
      </c>
      <c r="L40" s="38">
        <v>0</v>
      </c>
      <c r="M40" s="38">
        <v>0</v>
      </c>
      <c r="N40" s="38">
        <v>0</v>
      </c>
      <c r="O40" s="38">
        <v>0</v>
      </c>
      <c r="P40" s="38">
        <v>0</v>
      </c>
      <c r="Q40" s="38">
        <v>0</v>
      </c>
      <c r="R40" s="38">
        <v>0</v>
      </c>
      <c r="S40" s="38">
        <v>0</v>
      </c>
      <c r="T40" s="38">
        <v>0</v>
      </c>
      <c r="U40" s="38">
        <v>1</v>
      </c>
      <c r="V40" s="38">
        <v>0</v>
      </c>
      <c r="W40" s="38">
        <v>0</v>
      </c>
      <c r="X40" s="38">
        <v>0</v>
      </c>
      <c r="Y40" s="38">
        <v>0</v>
      </c>
      <c r="Z40" s="38">
        <v>0</v>
      </c>
      <c r="AA40" s="38">
        <v>0</v>
      </c>
      <c r="AB40" s="38">
        <v>0</v>
      </c>
      <c r="AC40" s="75" t="s">
        <v>19</v>
      </c>
      <c r="AD40" s="38">
        <v>0</v>
      </c>
      <c r="AE40" s="38">
        <v>0</v>
      </c>
      <c r="AF40" s="38">
        <v>0</v>
      </c>
      <c r="AG40" s="38">
        <v>0</v>
      </c>
      <c r="AH40" s="38">
        <v>0</v>
      </c>
      <c r="AI40" s="38">
        <v>0</v>
      </c>
      <c r="AJ40" s="37" t="s">
        <v>348</v>
      </c>
      <c r="AK40" s="39">
        <v>11504369</v>
      </c>
      <c r="AL40" s="38" t="str">
        <f t="shared" si="1"/>
        <v>NO</v>
      </c>
      <c r="AM40" s="38">
        <v>0</v>
      </c>
      <c r="AN40" s="38">
        <v>0</v>
      </c>
      <c r="AO40" s="39">
        <v>1</v>
      </c>
      <c r="AP40" s="39">
        <v>0</v>
      </c>
      <c r="AQ40" s="39">
        <v>1</v>
      </c>
      <c r="AR40" s="39">
        <v>0</v>
      </c>
      <c r="AS40" s="39">
        <v>0</v>
      </c>
      <c r="AT40" s="39">
        <v>1</v>
      </c>
      <c r="AU40" s="39">
        <v>1</v>
      </c>
      <c r="AV40" s="39">
        <v>0</v>
      </c>
      <c r="AW40" s="39">
        <v>0</v>
      </c>
      <c r="AX40" s="39">
        <v>0</v>
      </c>
      <c r="AY40" s="39">
        <v>0</v>
      </c>
      <c r="AZ40" s="39">
        <v>0</v>
      </c>
      <c r="BA40" s="39">
        <v>0</v>
      </c>
      <c r="BB40" s="39">
        <v>1</v>
      </c>
      <c r="BC40" s="39">
        <v>0</v>
      </c>
      <c r="BD40" s="39">
        <v>0</v>
      </c>
      <c r="BE40" s="39">
        <v>0</v>
      </c>
      <c r="BF40" s="39">
        <v>0</v>
      </c>
      <c r="BG40" s="39">
        <v>0</v>
      </c>
      <c r="BH40" s="39">
        <v>0</v>
      </c>
      <c r="BI40" s="39">
        <v>0</v>
      </c>
      <c r="BJ40" s="39">
        <v>0</v>
      </c>
      <c r="BK40" s="39">
        <v>0</v>
      </c>
      <c r="BL40" s="39">
        <v>0</v>
      </c>
      <c r="BM40" s="39">
        <v>0</v>
      </c>
      <c r="BN40" s="39">
        <v>0</v>
      </c>
      <c r="BO40" s="39">
        <v>0</v>
      </c>
      <c r="BP40" s="39">
        <v>0</v>
      </c>
      <c r="BQ40" s="39">
        <v>0</v>
      </c>
      <c r="BR40" s="39">
        <v>0</v>
      </c>
      <c r="BS40" s="39">
        <v>0</v>
      </c>
      <c r="BT40" s="39">
        <v>0</v>
      </c>
      <c r="BU40" s="39">
        <v>1</v>
      </c>
      <c r="BV40" s="39">
        <v>0</v>
      </c>
      <c r="BW40" s="39">
        <v>0</v>
      </c>
      <c r="BX40" s="39">
        <v>0</v>
      </c>
      <c r="BY40" s="39">
        <v>0</v>
      </c>
      <c r="BZ40" s="39">
        <v>0</v>
      </c>
      <c r="CA40" s="39">
        <v>0</v>
      </c>
      <c r="CB40" s="39">
        <v>0</v>
      </c>
      <c r="CC40" s="39">
        <v>0</v>
      </c>
      <c r="CD40" s="39">
        <v>0</v>
      </c>
      <c r="CE40" s="39">
        <v>0</v>
      </c>
      <c r="CF40" s="39">
        <v>0</v>
      </c>
      <c r="CG40" s="39">
        <v>0</v>
      </c>
      <c r="CH40" s="39">
        <v>0</v>
      </c>
      <c r="CI40" s="39">
        <v>0</v>
      </c>
      <c r="CJ40" s="39">
        <v>0</v>
      </c>
      <c r="CK40" s="39">
        <v>0</v>
      </c>
      <c r="CL40" s="39">
        <v>0</v>
      </c>
      <c r="CM40" s="56">
        <v>44207</v>
      </c>
      <c r="CN40" s="56">
        <v>44207</v>
      </c>
      <c r="CO40" s="48">
        <v>44273</v>
      </c>
      <c r="CP40" s="43">
        <f t="shared" si="5"/>
        <v>66</v>
      </c>
      <c r="CQ40" s="43" t="e">
        <f t="shared" si="6"/>
        <v>#VALUE!</v>
      </c>
      <c r="CR40" s="39" t="s">
        <v>184</v>
      </c>
      <c r="CS40" s="39" t="s">
        <v>349</v>
      </c>
      <c r="CT40" s="86">
        <v>1</v>
      </c>
      <c r="CU40" s="39">
        <v>0</v>
      </c>
      <c r="CV40" s="39">
        <v>0</v>
      </c>
      <c r="CW40" s="39"/>
      <c r="CX40" s="39">
        <v>0</v>
      </c>
      <c r="CY40" s="39">
        <v>0</v>
      </c>
      <c r="CZ40" s="39">
        <v>0</v>
      </c>
      <c r="DA40" s="39">
        <v>0</v>
      </c>
      <c r="DB40" s="39">
        <v>0</v>
      </c>
      <c r="DC40" s="39">
        <v>0</v>
      </c>
      <c r="DE40" s="37"/>
      <c r="DF40" s="38">
        <v>1</v>
      </c>
      <c r="DG40" s="38">
        <v>0</v>
      </c>
      <c r="DH40" s="38">
        <v>0</v>
      </c>
      <c r="DI40" s="38">
        <v>0</v>
      </c>
      <c r="DJ40" s="38">
        <v>0</v>
      </c>
      <c r="DK40" s="38">
        <v>0</v>
      </c>
      <c r="DL40" s="38">
        <v>0</v>
      </c>
      <c r="DM40" s="38">
        <v>0</v>
      </c>
      <c r="DN40" s="38">
        <v>0</v>
      </c>
      <c r="DO40" s="38">
        <v>1</v>
      </c>
      <c r="DP40" s="38">
        <v>0</v>
      </c>
      <c r="DQ40" s="38">
        <v>0</v>
      </c>
      <c r="DZ40" s="38">
        <v>1</v>
      </c>
      <c r="EA40" s="38">
        <v>1</v>
      </c>
      <c r="EB40" s="65" t="str">
        <f t="shared" si="3"/>
        <v>YES!</v>
      </c>
      <c r="EC40" s="110">
        <v>3362</v>
      </c>
      <c r="ED40" s="112" t="s">
        <v>350</v>
      </c>
      <c r="EE40" s="102">
        <v>123.75</v>
      </c>
      <c r="EF40" s="100">
        <v>98.25</v>
      </c>
      <c r="EG40" s="100">
        <v>333.25</v>
      </c>
      <c r="EH40" s="100">
        <v>50.75</v>
      </c>
      <c r="EI40" s="100">
        <v>19.75</v>
      </c>
      <c r="EJ40" s="100">
        <v>-21</v>
      </c>
      <c r="EK40" s="100">
        <v>15.25</v>
      </c>
      <c r="EL40" s="100">
        <v>189.25</v>
      </c>
      <c r="EM40" s="100">
        <v>115</v>
      </c>
      <c r="EN40" s="101">
        <v>88</v>
      </c>
      <c r="EO40" s="102">
        <v>116285.5</v>
      </c>
      <c r="EP40" s="100">
        <v>75943</v>
      </c>
      <c r="EQ40" s="100">
        <v>206502.75</v>
      </c>
      <c r="ER40" s="100">
        <v>40823.75</v>
      </c>
      <c r="ES40" s="100">
        <v>36</v>
      </c>
      <c r="ET40" s="100">
        <v>219.75</v>
      </c>
      <c r="EU40" s="100">
        <v>61198.25</v>
      </c>
      <c r="EV40" s="100">
        <v>135511.25</v>
      </c>
      <c r="EW40" s="100">
        <v>84225.75</v>
      </c>
      <c r="EX40" s="103">
        <v>84796.5</v>
      </c>
    </row>
    <row r="41" spans="1:154" s="38" customFormat="1" ht="43.2" x14ac:dyDescent="0.3">
      <c r="A41" s="90">
        <v>3365</v>
      </c>
      <c r="B41" s="63"/>
      <c r="C41" s="62" t="s">
        <v>149</v>
      </c>
      <c r="D41" s="40">
        <v>56</v>
      </c>
      <c r="E41" s="40">
        <v>0</v>
      </c>
      <c r="F41" s="40">
        <v>0</v>
      </c>
      <c r="G41" s="40" t="s">
        <v>150</v>
      </c>
      <c r="H41" s="40" t="s">
        <v>151</v>
      </c>
      <c r="I41" s="40">
        <v>1.49</v>
      </c>
      <c r="J41" s="40">
        <v>73</v>
      </c>
      <c r="K41" s="38">
        <v>1</v>
      </c>
      <c r="L41" s="38">
        <v>0</v>
      </c>
      <c r="M41" s="38">
        <v>0</v>
      </c>
      <c r="N41" s="38">
        <v>0</v>
      </c>
      <c r="O41" s="38">
        <v>1</v>
      </c>
      <c r="P41" s="38">
        <v>0</v>
      </c>
      <c r="Q41" s="38">
        <v>0</v>
      </c>
      <c r="R41" s="38">
        <v>0</v>
      </c>
      <c r="S41" s="38">
        <v>0</v>
      </c>
      <c r="T41" s="38">
        <v>0</v>
      </c>
      <c r="U41" s="38">
        <v>1</v>
      </c>
      <c r="V41" s="38">
        <v>0</v>
      </c>
      <c r="W41" s="38">
        <v>1</v>
      </c>
      <c r="X41" s="38">
        <v>0</v>
      </c>
      <c r="Y41" s="38">
        <v>0</v>
      </c>
      <c r="Z41" s="38">
        <v>0</v>
      </c>
      <c r="AA41" s="38">
        <v>0</v>
      </c>
      <c r="AB41" s="38">
        <v>0</v>
      </c>
      <c r="AC41" s="75" t="s">
        <v>351</v>
      </c>
      <c r="AD41" s="38">
        <v>0</v>
      </c>
      <c r="AE41" s="38">
        <v>0</v>
      </c>
      <c r="AF41" s="38">
        <v>0</v>
      </c>
      <c r="AG41" s="38">
        <v>0</v>
      </c>
      <c r="AH41" s="38">
        <v>0</v>
      </c>
      <c r="AI41" s="38">
        <v>0</v>
      </c>
      <c r="AJ41" s="37" t="s">
        <v>352</v>
      </c>
      <c r="AK41" s="39">
        <v>1934620</v>
      </c>
      <c r="AL41" s="38" t="str">
        <f t="shared" si="1"/>
        <v>NO</v>
      </c>
      <c r="AM41" s="38">
        <v>0</v>
      </c>
      <c r="AN41" s="38">
        <v>0</v>
      </c>
      <c r="AO41" s="39">
        <v>1</v>
      </c>
      <c r="AP41" s="39">
        <v>0</v>
      </c>
      <c r="AQ41" s="39">
        <v>1</v>
      </c>
      <c r="AR41" s="39">
        <v>1</v>
      </c>
      <c r="AS41" s="39">
        <v>1</v>
      </c>
      <c r="AT41" s="39">
        <v>0</v>
      </c>
      <c r="AU41" s="39">
        <v>0</v>
      </c>
      <c r="AV41" s="39">
        <v>0</v>
      </c>
      <c r="AW41" s="39">
        <v>0</v>
      </c>
      <c r="AX41" s="39">
        <v>1</v>
      </c>
      <c r="AY41" s="39">
        <v>0</v>
      </c>
      <c r="AZ41" s="39">
        <v>0</v>
      </c>
      <c r="BA41" s="39">
        <v>0</v>
      </c>
      <c r="BB41" s="39">
        <v>0</v>
      </c>
      <c r="BC41" s="39">
        <v>0</v>
      </c>
      <c r="BD41" s="39">
        <v>0</v>
      </c>
      <c r="BE41" s="39">
        <v>0</v>
      </c>
      <c r="BF41" s="39">
        <v>0</v>
      </c>
      <c r="BG41" s="39">
        <v>0</v>
      </c>
      <c r="BH41" s="39">
        <v>0</v>
      </c>
      <c r="BI41" s="39">
        <v>0</v>
      </c>
      <c r="BJ41" s="39">
        <v>0</v>
      </c>
      <c r="BK41" s="39">
        <v>0</v>
      </c>
      <c r="BL41" s="39">
        <v>0</v>
      </c>
      <c r="BM41" s="39">
        <v>0</v>
      </c>
      <c r="BN41" s="39">
        <v>0</v>
      </c>
      <c r="BO41" s="39">
        <v>0</v>
      </c>
      <c r="BP41" s="39">
        <v>0</v>
      </c>
      <c r="BQ41" s="39">
        <v>0</v>
      </c>
      <c r="BR41" s="39">
        <v>0</v>
      </c>
      <c r="BS41" s="39">
        <v>0</v>
      </c>
      <c r="BT41" s="39">
        <v>0</v>
      </c>
      <c r="BU41" s="39">
        <v>1</v>
      </c>
      <c r="BV41" s="39">
        <v>0</v>
      </c>
      <c r="BW41" s="39">
        <v>0</v>
      </c>
      <c r="BX41" s="39">
        <v>0</v>
      </c>
      <c r="BY41" s="39">
        <v>0</v>
      </c>
      <c r="BZ41" s="39">
        <v>0</v>
      </c>
      <c r="CA41" s="39">
        <v>0</v>
      </c>
      <c r="CB41" s="39">
        <v>0</v>
      </c>
      <c r="CC41" s="39">
        <v>0</v>
      </c>
      <c r="CD41" s="39">
        <v>0</v>
      </c>
      <c r="CE41" s="39">
        <v>0</v>
      </c>
      <c r="CF41" s="39">
        <v>0</v>
      </c>
      <c r="CG41" s="39">
        <v>0</v>
      </c>
      <c r="CH41" s="39">
        <v>0</v>
      </c>
      <c r="CI41" s="39">
        <v>1</v>
      </c>
      <c r="CJ41" s="39">
        <v>0</v>
      </c>
      <c r="CK41" s="39">
        <v>0</v>
      </c>
      <c r="CL41" s="39">
        <v>0</v>
      </c>
      <c r="CM41" s="56">
        <v>44013</v>
      </c>
      <c r="CN41" s="56">
        <v>44013</v>
      </c>
      <c r="CO41" s="48">
        <v>44273</v>
      </c>
      <c r="CP41" s="43">
        <f t="shared" si="5"/>
        <v>260</v>
      </c>
      <c r="CQ41" s="43" t="e">
        <f t="shared" si="6"/>
        <v>#VALUE!</v>
      </c>
      <c r="CR41" s="39" t="s">
        <v>184</v>
      </c>
      <c r="CS41" s="39" t="s">
        <v>353</v>
      </c>
      <c r="CT41" s="86">
        <v>1</v>
      </c>
      <c r="CU41" s="39">
        <v>1</v>
      </c>
      <c r="CV41" s="39">
        <v>1</v>
      </c>
      <c r="CW41" s="39" t="s">
        <v>354</v>
      </c>
      <c r="CX41" s="39">
        <v>0</v>
      </c>
      <c r="CY41" s="39">
        <v>0</v>
      </c>
      <c r="CZ41" s="39">
        <v>0</v>
      </c>
      <c r="DA41" s="39">
        <v>0</v>
      </c>
      <c r="DB41" s="39">
        <v>0</v>
      </c>
      <c r="DC41" s="39">
        <v>0</v>
      </c>
      <c r="DE41" s="37"/>
      <c r="DF41" s="38">
        <v>1</v>
      </c>
      <c r="DG41" s="38">
        <v>0</v>
      </c>
      <c r="DH41" s="38">
        <v>0</v>
      </c>
      <c r="DI41" s="38">
        <v>0</v>
      </c>
      <c r="DJ41" s="38">
        <v>0</v>
      </c>
      <c r="DK41" s="38">
        <v>0</v>
      </c>
      <c r="DL41" s="38">
        <v>0</v>
      </c>
      <c r="DM41" s="38">
        <v>0</v>
      </c>
      <c r="DN41" s="38">
        <v>0</v>
      </c>
      <c r="DO41" s="38">
        <v>0</v>
      </c>
      <c r="DP41" s="38">
        <v>0</v>
      </c>
      <c r="DQ41" s="38">
        <v>0</v>
      </c>
      <c r="DV41" s="38" t="s">
        <v>277</v>
      </c>
      <c r="DZ41" s="38">
        <v>1</v>
      </c>
      <c r="EA41" s="38">
        <v>1</v>
      </c>
      <c r="EB41" s="65" t="str">
        <f t="shared" si="3"/>
        <v>YES!</v>
      </c>
      <c r="EC41" s="110">
        <v>3365</v>
      </c>
      <c r="ED41" s="112" t="s">
        <v>355</v>
      </c>
      <c r="EE41" s="102">
        <v>67.25</v>
      </c>
      <c r="EF41" s="100">
        <v>64</v>
      </c>
      <c r="EG41" s="100">
        <v>195.5</v>
      </c>
      <c r="EH41" s="100">
        <v>42.25</v>
      </c>
      <c r="EI41" s="100">
        <v>192.25</v>
      </c>
      <c r="EJ41" s="100">
        <v>495.5</v>
      </c>
      <c r="EK41" s="100">
        <v>321.25</v>
      </c>
      <c r="EL41" s="100">
        <v>197.25</v>
      </c>
      <c r="EM41" s="100">
        <v>11</v>
      </c>
      <c r="EN41" s="101">
        <v>162.5</v>
      </c>
      <c r="EO41" s="102">
        <v>35396.5</v>
      </c>
      <c r="EP41" s="100">
        <v>23123.25</v>
      </c>
      <c r="EQ41" s="100">
        <v>109559</v>
      </c>
      <c r="ER41" s="100">
        <v>4637.5</v>
      </c>
      <c r="ES41" s="100">
        <v>100263.25</v>
      </c>
      <c r="ET41" s="100">
        <v>108335</v>
      </c>
      <c r="EU41" s="100">
        <v>126723.75</v>
      </c>
      <c r="EV41" s="100">
        <v>93123.25</v>
      </c>
      <c r="EW41" s="100">
        <v>1859.25</v>
      </c>
      <c r="EX41" s="103">
        <v>90404.25</v>
      </c>
    </row>
    <row r="42" spans="1:154" s="38" customFormat="1" ht="43.2" x14ac:dyDescent="0.3">
      <c r="A42" s="90">
        <v>3381</v>
      </c>
      <c r="B42" s="63"/>
      <c r="C42" s="62" t="s">
        <v>149</v>
      </c>
      <c r="D42" s="40">
        <v>49</v>
      </c>
      <c r="E42" s="40">
        <v>0</v>
      </c>
      <c r="F42" s="40">
        <v>0</v>
      </c>
      <c r="G42" s="40" t="s">
        <v>150</v>
      </c>
      <c r="H42" s="40" t="s">
        <v>151</v>
      </c>
      <c r="I42" s="40"/>
      <c r="J42" s="40">
        <v>108.4</v>
      </c>
      <c r="K42" s="38">
        <v>1</v>
      </c>
      <c r="L42" s="38">
        <v>0</v>
      </c>
      <c r="M42" s="38">
        <v>0</v>
      </c>
      <c r="N42" s="38">
        <v>0</v>
      </c>
      <c r="O42" s="38">
        <v>0</v>
      </c>
      <c r="P42" s="38">
        <v>0</v>
      </c>
      <c r="Q42" s="38">
        <v>1</v>
      </c>
      <c r="R42" s="38">
        <v>0</v>
      </c>
      <c r="S42" s="38">
        <v>0</v>
      </c>
      <c r="T42" s="38">
        <v>1</v>
      </c>
      <c r="U42" s="38">
        <v>1</v>
      </c>
      <c r="V42" s="38">
        <v>0</v>
      </c>
      <c r="W42" s="38">
        <v>0</v>
      </c>
      <c r="X42" s="38">
        <v>0</v>
      </c>
      <c r="Y42" s="38">
        <v>0</v>
      </c>
      <c r="Z42" s="38">
        <v>0</v>
      </c>
      <c r="AA42" s="38">
        <v>0</v>
      </c>
      <c r="AB42" s="38">
        <v>0</v>
      </c>
      <c r="AC42" s="75" t="s">
        <v>356</v>
      </c>
      <c r="AD42" s="38">
        <v>0</v>
      </c>
      <c r="AE42" s="38">
        <v>0</v>
      </c>
      <c r="AF42" s="38">
        <v>0</v>
      </c>
      <c r="AG42" s="38">
        <v>0</v>
      </c>
      <c r="AH42" s="38">
        <v>0</v>
      </c>
      <c r="AI42" s="38">
        <v>0</v>
      </c>
      <c r="AJ42" s="37" t="s">
        <v>357</v>
      </c>
      <c r="AK42" s="39">
        <v>20576009</v>
      </c>
      <c r="AL42" s="38" t="str">
        <f t="shared" si="1"/>
        <v>NO</v>
      </c>
      <c r="AM42" s="38">
        <v>0</v>
      </c>
      <c r="AN42" s="38">
        <v>0</v>
      </c>
      <c r="AO42" s="39">
        <v>0</v>
      </c>
      <c r="AP42" s="39">
        <v>0</v>
      </c>
      <c r="AQ42" s="39">
        <v>1</v>
      </c>
      <c r="AR42" s="39">
        <v>0</v>
      </c>
      <c r="AS42" s="39">
        <v>0</v>
      </c>
      <c r="AT42" s="39">
        <v>1</v>
      </c>
      <c r="AU42" s="39">
        <v>1</v>
      </c>
      <c r="AV42" s="39">
        <v>1</v>
      </c>
      <c r="AW42" s="39">
        <v>0</v>
      </c>
      <c r="AX42" s="39">
        <v>0</v>
      </c>
      <c r="AY42" s="39">
        <v>1</v>
      </c>
      <c r="AZ42" s="39">
        <v>0</v>
      </c>
      <c r="BA42" s="39">
        <v>0</v>
      </c>
      <c r="BB42" s="39">
        <v>1</v>
      </c>
      <c r="BC42" s="39">
        <v>0</v>
      </c>
      <c r="BD42" s="39">
        <v>0</v>
      </c>
      <c r="BE42" s="39">
        <v>0</v>
      </c>
      <c r="BF42" s="39">
        <v>1</v>
      </c>
      <c r="BG42" s="39">
        <v>1</v>
      </c>
      <c r="BH42" s="39">
        <v>0</v>
      </c>
      <c r="BI42" s="39">
        <v>0</v>
      </c>
      <c r="BJ42" s="39">
        <v>0</v>
      </c>
      <c r="BK42" s="39">
        <v>0</v>
      </c>
      <c r="BL42" s="39">
        <v>0</v>
      </c>
      <c r="BM42" s="39">
        <v>0</v>
      </c>
      <c r="BN42" s="39">
        <v>0</v>
      </c>
      <c r="BO42" s="39">
        <v>0</v>
      </c>
      <c r="BP42" s="39">
        <v>0</v>
      </c>
      <c r="BQ42" s="39">
        <v>0</v>
      </c>
      <c r="BR42" s="39">
        <v>0</v>
      </c>
      <c r="BS42" s="39">
        <v>0</v>
      </c>
      <c r="BT42" s="39">
        <v>0</v>
      </c>
      <c r="BU42" s="39">
        <v>0</v>
      </c>
      <c r="BV42" s="39">
        <v>0</v>
      </c>
      <c r="BW42" s="39">
        <v>0</v>
      </c>
      <c r="BX42" s="39">
        <v>0</v>
      </c>
      <c r="BY42" s="39">
        <v>0</v>
      </c>
      <c r="BZ42" s="39">
        <v>0</v>
      </c>
      <c r="CA42" s="39">
        <v>0</v>
      </c>
      <c r="CB42" s="39">
        <v>0</v>
      </c>
      <c r="CC42" s="39">
        <v>0</v>
      </c>
      <c r="CD42" s="39">
        <v>0</v>
      </c>
      <c r="CE42" s="39">
        <v>0</v>
      </c>
      <c r="CF42" s="39">
        <v>0</v>
      </c>
      <c r="CG42" s="39">
        <v>0</v>
      </c>
      <c r="CH42" s="39">
        <v>0</v>
      </c>
      <c r="CI42" s="39">
        <v>1</v>
      </c>
      <c r="CJ42" s="39">
        <v>0</v>
      </c>
      <c r="CK42" s="39">
        <v>0</v>
      </c>
      <c r="CL42" s="39">
        <v>0</v>
      </c>
      <c r="CM42" s="56">
        <v>44212</v>
      </c>
      <c r="CN42" s="56">
        <v>44212</v>
      </c>
      <c r="CO42" s="48">
        <v>44280</v>
      </c>
      <c r="CP42" s="43">
        <f t="shared" si="5"/>
        <v>68</v>
      </c>
      <c r="CQ42" s="43" t="e">
        <f t="shared" si="6"/>
        <v>#VALUE!</v>
      </c>
      <c r="CR42" s="39" t="s">
        <v>184</v>
      </c>
      <c r="CS42" s="39" t="s">
        <v>358</v>
      </c>
      <c r="CT42" s="86">
        <v>1</v>
      </c>
      <c r="CU42" s="39">
        <v>1</v>
      </c>
      <c r="CV42" s="39">
        <v>0</v>
      </c>
      <c r="CW42" s="39"/>
      <c r="CX42" s="39">
        <v>0</v>
      </c>
      <c r="CY42" s="39">
        <v>0</v>
      </c>
      <c r="CZ42" s="39">
        <v>0</v>
      </c>
      <c r="DA42" s="39">
        <v>0</v>
      </c>
      <c r="DB42" s="39">
        <v>0</v>
      </c>
      <c r="DC42" s="39">
        <v>0</v>
      </c>
      <c r="DE42" s="37"/>
      <c r="DF42" s="38">
        <v>0</v>
      </c>
      <c r="DG42" s="38">
        <v>0</v>
      </c>
      <c r="DH42" s="38">
        <v>0</v>
      </c>
      <c r="DI42" s="38">
        <v>0</v>
      </c>
      <c r="DJ42" s="38">
        <v>0</v>
      </c>
      <c r="DK42" s="38">
        <v>0</v>
      </c>
      <c r="DL42" s="38">
        <v>0</v>
      </c>
      <c r="DM42" s="38">
        <v>0</v>
      </c>
      <c r="DN42" s="38">
        <v>0</v>
      </c>
      <c r="DO42" s="38">
        <v>0</v>
      </c>
      <c r="DP42" s="38">
        <v>0</v>
      </c>
      <c r="DQ42" s="38">
        <v>1</v>
      </c>
      <c r="DZ42" s="38">
        <v>1</v>
      </c>
      <c r="EA42" s="38">
        <v>1</v>
      </c>
      <c r="EB42" s="65" t="str">
        <f t="shared" si="3"/>
        <v>YES!</v>
      </c>
      <c r="EC42" s="110">
        <v>3381</v>
      </c>
      <c r="ED42" s="112" t="s">
        <v>359</v>
      </c>
      <c r="EE42" s="102">
        <v>1744.5</v>
      </c>
      <c r="EF42" s="100">
        <v>1338.5</v>
      </c>
      <c r="EG42" s="100">
        <v>2333</v>
      </c>
      <c r="EH42" s="100">
        <v>242.75</v>
      </c>
      <c r="EI42" s="100">
        <v>8.25</v>
      </c>
      <c r="EJ42" s="100">
        <v>43.75</v>
      </c>
      <c r="EK42" s="100">
        <v>302.5</v>
      </c>
      <c r="EL42" s="100">
        <v>184.25</v>
      </c>
      <c r="EM42" s="100">
        <v>313.5</v>
      </c>
      <c r="EN42" s="101">
        <v>15.5</v>
      </c>
      <c r="EO42" s="102">
        <v>62487.5</v>
      </c>
      <c r="EP42" s="100">
        <v>40178.5</v>
      </c>
      <c r="EQ42" s="100">
        <v>128598.75</v>
      </c>
      <c r="ER42" s="100">
        <v>17942.5</v>
      </c>
      <c r="ES42" s="100">
        <v>117488.75</v>
      </c>
      <c r="ET42" s="100">
        <v>110795.75</v>
      </c>
      <c r="EU42" s="100">
        <v>76884.25</v>
      </c>
      <c r="EV42" s="100">
        <v>72785</v>
      </c>
      <c r="EW42" s="100">
        <v>68638</v>
      </c>
      <c r="EX42" s="103">
        <v>136637.5</v>
      </c>
    </row>
    <row r="43" spans="1:154" s="38" customFormat="1" ht="43.2" x14ac:dyDescent="0.3">
      <c r="A43" s="90">
        <v>3386</v>
      </c>
      <c r="B43" s="63"/>
      <c r="C43" s="62" t="s">
        <v>149</v>
      </c>
      <c r="D43" s="40">
        <v>27</v>
      </c>
      <c r="E43" s="40">
        <v>0</v>
      </c>
      <c r="F43" s="40">
        <v>0</v>
      </c>
      <c r="G43" s="40" t="s">
        <v>150</v>
      </c>
      <c r="H43" s="40" t="s">
        <v>151</v>
      </c>
      <c r="I43" s="40"/>
      <c r="J43" s="40">
        <v>130</v>
      </c>
      <c r="K43" s="38">
        <v>0</v>
      </c>
      <c r="L43" s="38">
        <v>0</v>
      </c>
      <c r="M43" s="38">
        <v>0</v>
      </c>
      <c r="N43" s="38">
        <v>0</v>
      </c>
      <c r="O43" s="38">
        <v>1</v>
      </c>
      <c r="P43" s="38">
        <v>0</v>
      </c>
      <c r="Q43" s="38">
        <v>0</v>
      </c>
      <c r="R43" s="38">
        <v>0</v>
      </c>
      <c r="S43" s="38">
        <v>0</v>
      </c>
      <c r="T43" s="38">
        <v>0</v>
      </c>
      <c r="U43" s="38">
        <v>1</v>
      </c>
      <c r="V43" s="38">
        <v>0</v>
      </c>
      <c r="W43" s="38">
        <v>0</v>
      </c>
      <c r="X43" s="38">
        <v>0</v>
      </c>
      <c r="Y43" s="38">
        <v>0</v>
      </c>
      <c r="Z43" s="38">
        <v>0</v>
      </c>
      <c r="AA43" s="38">
        <v>0</v>
      </c>
      <c r="AB43" s="38">
        <v>0</v>
      </c>
      <c r="AC43" s="75" t="s">
        <v>360</v>
      </c>
      <c r="AD43" s="38">
        <v>0</v>
      </c>
      <c r="AE43" s="38">
        <v>0</v>
      </c>
      <c r="AF43" s="38">
        <v>1</v>
      </c>
      <c r="AG43" s="38">
        <v>0</v>
      </c>
      <c r="AH43" s="38">
        <v>0</v>
      </c>
      <c r="AI43" s="38">
        <v>0</v>
      </c>
      <c r="AJ43" s="37" t="s">
        <v>361</v>
      </c>
      <c r="AK43" s="39">
        <v>13720993</v>
      </c>
      <c r="AL43" s="38" t="str">
        <f t="shared" si="1"/>
        <v>NO</v>
      </c>
      <c r="AM43" s="38">
        <v>0</v>
      </c>
      <c r="AN43" s="38">
        <v>0</v>
      </c>
      <c r="AO43" s="39">
        <v>1</v>
      </c>
      <c r="AP43" s="39">
        <v>0</v>
      </c>
      <c r="AQ43" s="39">
        <v>1</v>
      </c>
      <c r="AR43" s="39">
        <v>0</v>
      </c>
      <c r="AS43" s="39">
        <v>0</v>
      </c>
      <c r="AT43" s="39">
        <v>0</v>
      </c>
      <c r="AU43" s="39">
        <v>0</v>
      </c>
      <c r="AV43" s="39">
        <v>1</v>
      </c>
      <c r="AW43" s="39">
        <v>0</v>
      </c>
      <c r="AX43" s="39">
        <v>1</v>
      </c>
      <c r="AY43" s="39">
        <v>0</v>
      </c>
      <c r="AZ43" s="39">
        <v>0</v>
      </c>
      <c r="BA43" s="39">
        <v>0</v>
      </c>
      <c r="BB43" s="39">
        <v>1</v>
      </c>
      <c r="BC43" s="39">
        <v>0</v>
      </c>
      <c r="BD43" s="39">
        <v>0</v>
      </c>
      <c r="BE43" s="39">
        <v>0</v>
      </c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9">
        <v>0</v>
      </c>
      <c r="BP43" s="39">
        <v>0</v>
      </c>
      <c r="BQ43" s="39">
        <v>0</v>
      </c>
      <c r="BR43" s="39">
        <v>0</v>
      </c>
      <c r="BS43" s="39">
        <v>0</v>
      </c>
      <c r="BT43" s="39">
        <v>0</v>
      </c>
      <c r="BU43" s="39">
        <v>0</v>
      </c>
      <c r="BV43" s="39">
        <v>0</v>
      </c>
      <c r="BW43" s="39">
        <v>0</v>
      </c>
      <c r="BX43" s="39">
        <v>1</v>
      </c>
      <c r="BY43" s="39">
        <v>0</v>
      </c>
      <c r="BZ43" s="39">
        <v>0</v>
      </c>
      <c r="CA43" s="39">
        <v>0</v>
      </c>
      <c r="CB43" s="39">
        <v>0</v>
      </c>
      <c r="CC43" s="39">
        <v>0</v>
      </c>
      <c r="CD43" s="39">
        <v>0</v>
      </c>
      <c r="CE43" s="39">
        <v>0</v>
      </c>
      <c r="CF43" s="39">
        <v>0</v>
      </c>
      <c r="CG43" s="39">
        <v>1</v>
      </c>
      <c r="CH43" s="39">
        <v>0</v>
      </c>
      <c r="CI43" s="39">
        <v>0</v>
      </c>
      <c r="CJ43" s="39">
        <v>0</v>
      </c>
      <c r="CK43" s="39">
        <v>0</v>
      </c>
      <c r="CL43" s="39">
        <v>0</v>
      </c>
      <c r="CM43" s="56">
        <v>44180</v>
      </c>
      <c r="CN43" s="56">
        <v>44180</v>
      </c>
      <c r="CO43" s="48">
        <v>44280</v>
      </c>
      <c r="CP43" s="43">
        <f t="shared" si="5"/>
        <v>100</v>
      </c>
      <c r="CQ43" s="43" t="e">
        <f t="shared" si="6"/>
        <v>#VALUE!</v>
      </c>
      <c r="CR43" s="39" t="s">
        <v>184</v>
      </c>
      <c r="CS43" s="39" t="s">
        <v>362</v>
      </c>
      <c r="CT43" s="86">
        <v>1</v>
      </c>
      <c r="CU43" s="39">
        <v>0</v>
      </c>
      <c r="CV43" s="39">
        <v>0</v>
      </c>
      <c r="CW43" s="39"/>
      <c r="CX43" s="39">
        <v>0</v>
      </c>
      <c r="CY43" s="39">
        <v>0</v>
      </c>
      <c r="CZ43" s="39">
        <v>0</v>
      </c>
      <c r="DA43" s="39">
        <v>0</v>
      </c>
      <c r="DB43" s="39">
        <v>0</v>
      </c>
      <c r="DC43" s="39">
        <v>0</v>
      </c>
      <c r="DE43" s="37"/>
      <c r="DF43" s="38">
        <v>1</v>
      </c>
      <c r="DG43" s="38">
        <v>0</v>
      </c>
      <c r="DH43" s="38">
        <v>0</v>
      </c>
      <c r="DI43" s="38">
        <v>0</v>
      </c>
      <c r="DJ43" s="38">
        <v>0</v>
      </c>
      <c r="DK43" s="38">
        <v>0</v>
      </c>
      <c r="DL43" s="38">
        <v>0</v>
      </c>
      <c r="DM43" s="38">
        <v>0</v>
      </c>
      <c r="DN43" s="38">
        <v>0</v>
      </c>
      <c r="DO43" s="38">
        <v>0</v>
      </c>
      <c r="DP43" s="38">
        <v>0</v>
      </c>
      <c r="DQ43" s="38">
        <v>0</v>
      </c>
      <c r="DZ43" s="38">
        <v>1</v>
      </c>
      <c r="EA43" s="38">
        <v>1</v>
      </c>
      <c r="EB43" s="65" t="str">
        <f t="shared" si="3"/>
        <v>YES!</v>
      </c>
      <c r="EC43" s="110">
        <v>3386</v>
      </c>
      <c r="ED43" s="112" t="s">
        <v>363</v>
      </c>
      <c r="EE43" s="102">
        <v>159.25</v>
      </c>
      <c r="EF43" s="100">
        <v>98</v>
      </c>
      <c r="EG43" s="100">
        <v>236.25</v>
      </c>
      <c r="EH43" s="100">
        <v>21</v>
      </c>
      <c r="EI43" s="100">
        <v>-23</v>
      </c>
      <c r="EJ43" s="100">
        <v>18.25</v>
      </c>
      <c r="EK43" s="100">
        <v>102.5</v>
      </c>
      <c r="EL43" s="100">
        <v>38.75</v>
      </c>
      <c r="EM43" s="100">
        <v>62.5</v>
      </c>
      <c r="EN43" s="101">
        <v>126.75</v>
      </c>
      <c r="EO43" s="102">
        <v>8619.5</v>
      </c>
      <c r="EP43" s="100">
        <v>4262</v>
      </c>
      <c r="EQ43" s="100">
        <v>10107</v>
      </c>
      <c r="ER43" s="100">
        <v>2888.75</v>
      </c>
      <c r="ES43" s="100">
        <v>167.25</v>
      </c>
      <c r="ET43" s="100">
        <v>320</v>
      </c>
      <c r="EU43" s="100">
        <v>141567.75</v>
      </c>
      <c r="EV43" s="100">
        <v>89777.75</v>
      </c>
      <c r="EW43" s="100">
        <v>41388.25</v>
      </c>
      <c r="EX43" s="103">
        <v>130774.75</v>
      </c>
    </row>
    <row r="44" spans="1:154" s="38" customFormat="1" ht="82.8" x14ac:dyDescent="0.3">
      <c r="A44" s="90">
        <v>3391</v>
      </c>
      <c r="B44" s="63"/>
      <c r="C44" s="62" t="s">
        <v>149</v>
      </c>
      <c r="D44" s="40">
        <v>39</v>
      </c>
      <c r="E44" s="40">
        <v>0</v>
      </c>
      <c r="F44" s="40">
        <v>0</v>
      </c>
      <c r="G44" s="40" t="s">
        <v>150</v>
      </c>
      <c r="H44" s="40" t="s">
        <v>151</v>
      </c>
      <c r="I44" s="40"/>
      <c r="J44" s="40">
        <v>100.3</v>
      </c>
      <c r="K44" s="38">
        <v>0</v>
      </c>
      <c r="L44" s="38">
        <v>1</v>
      </c>
      <c r="M44" s="38">
        <v>0</v>
      </c>
      <c r="N44" s="38">
        <v>0</v>
      </c>
      <c r="O44" s="38">
        <v>1</v>
      </c>
      <c r="P44" s="38">
        <v>0</v>
      </c>
      <c r="Q44" s="38">
        <v>1</v>
      </c>
      <c r="R44" s="38">
        <v>0</v>
      </c>
      <c r="S44" s="38">
        <v>0</v>
      </c>
      <c r="T44" s="38">
        <v>0</v>
      </c>
      <c r="U44" s="38">
        <v>0</v>
      </c>
      <c r="V44" s="38">
        <v>0</v>
      </c>
      <c r="W44" s="38">
        <v>0</v>
      </c>
      <c r="X44" s="38">
        <v>1</v>
      </c>
      <c r="Y44" s="38">
        <v>1</v>
      </c>
      <c r="Z44" s="38">
        <v>0</v>
      </c>
      <c r="AA44" s="38">
        <v>0</v>
      </c>
      <c r="AB44" s="38">
        <v>0</v>
      </c>
      <c r="AC44" s="75" t="s">
        <v>364</v>
      </c>
      <c r="AD44" s="38">
        <v>0</v>
      </c>
      <c r="AE44" s="38">
        <v>1</v>
      </c>
      <c r="AF44" s="38">
        <v>0</v>
      </c>
      <c r="AG44" s="38">
        <v>0</v>
      </c>
      <c r="AH44" s="38">
        <v>0</v>
      </c>
      <c r="AI44" s="38">
        <v>0</v>
      </c>
      <c r="AJ44" s="37" t="s">
        <v>365</v>
      </c>
      <c r="AK44" s="39">
        <v>20041800</v>
      </c>
      <c r="AL44" s="38" t="str">
        <f t="shared" si="1"/>
        <v>NO</v>
      </c>
      <c r="AM44" s="38">
        <v>0</v>
      </c>
      <c r="AN44" s="38">
        <v>0</v>
      </c>
      <c r="AO44" s="39">
        <v>1</v>
      </c>
      <c r="AP44" s="39">
        <v>0</v>
      </c>
      <c r="AQ44" s="39">
        <v>0</v>
      </c>
      <c r="AR44" s="39">
        <v>0</v>
      </c>
      <c r="AS44" s="39">
        <v>0</v>
      </c>
      <c r="AT44" s="39">
        <v>0</v>
      </c>
      <c r="AU44" s="39">
        <v>0</v>
      </c>
      <c r="AV44" s="39">
        <v>0</v>
      </c>
      <c r="AW44" s="39">
        <v>0</v>
      </c>
      <c r="AX44" s="39">
        <v>0</v>
      </c>
      <c r="AY44" s="39">
        <v>0</v>
      </c>
      <c r="AZ44" s="39">
        <v>0</v>
      </c>
      <c r="BA44" s="39">
        <v>0</v>
      </c>
      <c r="BB44" s="39">
        <v>1</v>
      </c>
      <c r="BC44" s="39">
        <v>1</v>
      </c>
      <c r="BD44" s="39">
        <v>0</v>
      </c>
      <c r="BE44" s="39">
        <v>0</v>
      </c>
      <c r="BF44" s="39">
        <v>1</v>
      </c>
      <c r="BG44" s="39">
        <v>1</v>
      </c>
      <c r="BH44" s="39">
        <v>0</v>
      </c>
      <c r="BI44" s="39">
        <v>0</v>
      </c>
      <c r="BJ44" s="39">
        <v>0</v>
      </c>
      <c r="BK44" s="39">
        <v>0</v>
      </c>
      <c r="BL44" s="39">
        <v>0</v>
      </c>
      <c r="BM44" s="39">
        <v>0</v>
      </c>
      <c r="BN44" s="39">
        <v>0</v>
      </c>
      <c r="BO44" s="39">
        <v>0</v>
      </c>
      <c r="BP44" s="39">
        <v>0</v>
      </c>
      <c r="BQ44" s="39">
        <v>0</v>
      </c>
      <c r="BR44" s="39">
        <v>0</v>
      </c>
      <c r="BS44" s="39">
        <v>0</v>
      </c>
      <c r="BT44" s="39">
        <v>0</v>
      </c>
      <c r="BU44" s="39">
        <v>0</v>
      </c>
      <c r="BV44" s="39">
        <v>0</v>
      </c>
      <c r="BW44" s="39">
        <v>0</v>
      </c>
      <c r="BX44" s="39">
        <v>0</v>
      </c>
      <c r="BY44" s="39">
        <v>0</v>
      </c>
      <c r="BZ44" s="39">
        <v>0</v>
      </c>
      <c r="CA44" s="39">
        <v>0</v>
      </c>
      <c r="CB44" s="39">
        <v>0</v>
      </c>
      <c r="CC44" s="39">
        <v>0</v>
      </c>
      <c r="CD44" s="39">
        <v>0</v>
      </c>
      <c r="CE44" s="39">
        <v>0</v>
      </c>
      <c r="CF44" s="39">
        <v>0</v>
      </c>
      <c r="CG44" s="39">
        <v>0</v>
      </c>
      <c r="CH44" s="39">
        <v>0</v>
      </c>
      <c r="CI44" s="39">
        <v>1</v>
      </c>
      <c r="CJ44" s="39">
        <v>0</v>
      </c>
      <c r="CK44" s="39">
        <v>0</v>
      </c>
      <c r="CL44" s="39">
        <v>0</v>
      </c>
      <c r="CM44" s="56">
        <v>44196</v>
      </c>
      <c r="CN44" s="56">
        <v>44196</v>
      </c>
      <c r="CO44" s="48">
        <v>44280</v>
      </c>
      <c r="CP44" s="43">
        <f t="shared" si="5"/>
        <v>84</v>
      </c>
      <c r="CQ44" s="43" t="e">
        <f t="shared" si="6"/>
        <v>#VALUE!</v>
      </c>
      <c r="CR44" s="39" t="s">
        <v>184</v>
      </c>
      <c r="CS44" s="39" t="s">
        <v>366</v>
      </c>
      <c r="CT44" s="86">
        <v>1</v>
      </c>
      <c r="CU44" s="39">
        <v>1</v>
      </c>
      <c r="CV44" s="39">
        <v>1</v>
      </c>
      <c r="CW44" s="39" t="s">
        <v>367</v>
      </c>
      <c r="CX44" s="39">
        <v>0</v>
      </c>
      <c r="CY44" s="39">
        <v>0</v>
      </c>
      <c r="CZ44" s="39">
        <v>0</v>
      </c>
      <c r="DA44" s="39">
        <v>0</v>
      </c>
      <c r="DB44" s="39">
        <v>0</v>
      </c>
      <c r="DC44" s="39">
        <v>0</v>
      </c>
      <c r="DD44" s="38">
        <v>0</v>
      </c>
      <c r="DE44" s="37"/>
      <c r="DF44" s="38">
        <v>1</v>
      </c>
      <c r="DG44" s="38">
        <v>0</v>
      </c>
      <c r="DH44" s="38">
        <v>0</v>
      </c>
      <c r="DI44" s="38">
        <v>0</v>
      </c>
      <c r="DJ44" s="38">
        <v>0</v>
      </c>
      <c r="DK44" s="38">
        <v>0</v>
      </c>
      <c r="DL44" s="38">
        <v>0</v>
      </c>
      <c r="DM44" s="38">
        <v>0</v>
      </c>
      <c r="DN44" s="38">
        <v>0</v>
      </c>
      <c r="DO44" s="38">
        <v>1</v>
      </c>
      <c r="DP44" s="38">
        <v>0</v>
      </c>
      <c r="DQ44" s="38">
        <v>0</v>
      </c>
      <c r="DZ44" s="38">
        <v>1</v>
      </c>
      <c r="EA44" s="38">
        <v>1</v>
      </c>
      <c r="EB44" s="65" t="str">
        <f t="shared" si="3"/>
        <v>YES!</v>
      </c>
      <c r="EC44" s="110">
        <v>3391</v>
      </c>
      <c r="ED44" s="112" t="s">
        <v>368</v>
      </c>
      <c r="EE44" s="102">
        <v>2232.25</v>
      </c>
      <c r="EF44" s="100">
        <v>1480.5</v>
      </c>
      <c r="EG44" s="100">
        <v>5355.5</v>
      </c>
      <c r="EH44" s="100">
        <v>333.75</v>
      </c>
      <c r="EI44" s="100">
        <v>364</v>
      </c>
      <c r="EJ44" s="100">
        <v>777.25</v>
      </c>
      <c r="EK44" s="100">
        <v>640.75</v>
      </c>
      <c r="EL44" s="100">
        <v>549.75</v>
      </c>
      <c r="EM44" s="100">
        <v>333.75</v>
      </c>
      <c r="EN44" s="101">
        <v>762.75</v>
      </c>
      <c r="EO44" s="102">
        <v>120259</v>
      </c>
      <c r="EP44" s="100">
        <v>85601</v>
      </c>
      <c r="EQ44" s="100">
        <v>199734.5</v>
      </c>
      <c r="ER44" s="100">
        <v>75635</v>
      </c>
      <c r="ES44" s="100">
        <v>126.25</v>
      </c>
      <c r="ET44" s="100">
        <v>190.5</v>
      </c>
      <c r="EU44" s="100">
        <v>130148</v>
      </c>
      <c r="EV44" s="100">
        <v>52106.5</v>
      </c>
      <c r="EW44" s="100">
        <v>1405.75</v>
      </c>
      <c r="EX44" s="103">
        <v>48900.25</v>
      </c>
    </row>
    <row r="45" spans="1:154" s="38" customFormat="1" ht="43.2" x14ac:dyDescent="0.3">
      <c r="A45" s="90">
        <v>3400</v>
      </c>
      <c r="B45" s="63"/>
      <c r="C45" s="62" t="s">
        <v>149</v>
      </c>
      <c r="D45" s="40">
        <v>51</v>
      </c>
      <c r="E45" s="40">
        <v>0</v>
      </c>
      <c r="F45" s="40">
        <v>0</v>
      </c>
      <c r="G45" s="40" t="s">
        <v>150</v>
      </c>
      <c r="H45" s="40" t="s">
        <v>180</v>
      </c>
      <c r="I45" s="40"/>
      <c r="J45" s="40">
        <v>61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0</v>
      </c>
      <c r="R45" s="38">
        <v>0</v>
      </c>
      <c r="S45" s="38">
        <v>0</v>
      </c>
      <c r="T45" s="38">
        <v>0</v>
      </c>
      <c r="U45" s="38">
        <v>0</v>
      </c>
      <c r="V45" s="38">
        <v>0</v>
      </c>
      <c r="W45" s="38">
        <v>0</v>
      </c>
      <c r="X45" s="38">
        <v>0</v>
      </c>
      <c r="Y45" s="38">
        <v>0</v>
      </c>
      <c r="Z45" s="38">
        <v>0</v>
      </c>
      <c r="AA45" s="38">
        <v>0</v>
      </c>
      <c r="AB45" s="38">
        <v>0</v>
      </c>
      <c r="AC45" s="75" t="s">
        <v>369</v>
      </c>
      <c r="AD45" s="38">
        <v>0</v>
      </c>
      <c r="AE45" s="38">
        <v>0</v>
      </c>
      <c r="AF45" s="38">
        <v>0</v>
      </c>
      <c r="AG45" s="38">
        <v>0</v>
      </c>
      <c r="AH45" s="38">
        <v>0</v>
      </c>
      <c r="AI45" s="38">
        <v>0</v>
      </c>
      <c r="AJ45" s="37" t="s">
        <v>370</v>
      </c>
      <c r="AK45" s="39">
        <v>100489409</v>
      </c>
      <c r="AL45" s="38" t="str">
        <f t="shared" si="1"/>
        <v>NO</v>
      </c>
      <c r="AM45" s="38">
        <v>0</v>
      </c>
      <c r="AN45" s="38">
        <v>0</v>
      </c>
      <c r="AO45" s="39">
        <v>1</v>
      </c>
      <c r="AP45" s="39">
        <v>0</v>
      </c>
      <c r="AQ45" s="39">
        <v>1</v>
      </c>
      <c r="AR45" s="39">
        <v>0</v>
      </c>
      <c r="AS45" s="39">
        <v>0</v>
      </c>
      <c r="AT45" s="39">
        <v>0</v>
      </c>
      <c r="AU45" s="39">
        <v>0</v>
      </c>
      <c r="AV45" s="39">
        <v>1</v>
      </c>
      <c r="AW45" s="39">
        <v>0</v>
      </c>
      <c r="AX45" s="39">
        <v>0</v>
      </c>
      <c r="AY45" s="39">
        <v>0</v>
      </c>
      <c r="AZ45" s="39">
        <v>0</v>
      </c>
      <c r="BA45" s="39">
        <v>0</v>
      </c>
      <c r="BB45" s="39">
        <v>1</v>
      </c>
      <c r="BC45" s="39">
        <v>0</v>
      </c>
      <c r="BD45" s="39">
        <v>0</v>
      </c>
      <c r="BE45" s="39">
        <v>0</v>
      </c>
      <c r="BF45" s="39">
        <v>0</v>
      </c>
      <c r="BG45" s="39">
        <v>0</v>
      </c>
      <c r="BH45" s="39">
        <v>0</v>
      </c>
      <c r="BI45" s="39">
        <v>0</v>
      </c>
      <c r="BJ45" s="39">
        <v>0</v>
      </c>
      <c r="BK45" s="39">
        <v>0</v>
      </c>
      <c r="BL45" s="39">
        <v>0</v>
      </c>
      <c r="BM45" s="39">
        <v>0</v>
      </c>
      <c r="BN45" s="39">
        <v>0</v>
      </c>
      <c r="BO45" s="39">
        <v>0</v>
      </c>
      <c r="BP45" s="39">
        <v>0</v>
      </c>
      <c r="BQ45" s="39">
        <v>0</v>
      </c>
      <c r="BR45" s="39">
        <v>0</v>
      </c>
      <c r="BS45" s="39">
        <v>0</v>
      </c>
      <c r="BT45" s="39">
        <v>0</v>
      </c>
      <c r="BU45" s="39">
        <v>1</v>
      </c>
      <c r="BV45" s="39">
        <v>0</v>
      </c>
      <c r="BW45" s="39">
        <v>0</v>
      </c>
      <c r="BX45" s="39">
        <v>0</v>
      </c>
      <c r="BY45" s="39">
        <v>0</v>
      </c>
      <c r="BZ45" s="39">
        <v>0</v>
      </c>
      <c r="CA45" s="39">
        <v>0</v>
      </c>
      <c r="CB45" s="39">
        <v>0</v>
      </c>
      <c r="CC45" s="39">
        <v>0</v>
      </c>
      <c r="CD45" s="39">
        <v>0</v>
      </c>
      <c r="CE45" s="39">
        <v>0</v>
      </c>
      <c r="CF45" s="39">
        <v>0</v>
      </c>
      <c r="CG45" s="39">
        <v>0</v>
      </c>
      <c r="CH45" s="39">
        <v>0</v>
      </c>
      <c r="CI45" s="39">
        <v>0</v>
      </c>
      <c r="CJ45" s="39">
        <v>0</v>
      </c>
      <c r="CK45" s="39">
        <v>0</v>
      </c>
      <c r="CL45" s="39">
        <v>0</v>
      </c>
      <c r="CM45" s="56">
        <v>44045</v>
      </c>
      <c r="CN45" s="56">
        <v>44045</v>
      </c>
      <c r="CO45" s="48">
        <v>44287</v>
      </c>
      <c r="CP45" s="43">
        <f t="shared" si="5"/>
        <v>242</v>
      </c>
      <c r="CQ45" s="43" t="e">
        <f t="shared" si="6"/>
        <v>#VALUE!</v>
      </c>
      <c r="CR45" s="39" t="s">
        <v>184</v>
      </c>
      <c r="CS45" s="39" t="s">
        <v>371</v>
      </c>
      <c r="CT45" s="86">
        <v>1</v>
      </c>
      <c r="CU45" s="39">
        <v>1</v>
      </c>
      <c r="CV45" s="39">
        <v>1</v>
      </c>
      <c r="CW45" s="39" t="s">
        <v>372</v>
      </c>
      <c r="CX45" s="39">
        <v>0</v>
      </c>
      <c r="CY45" s="39">
        <v>1</v>
      </c>
      <c r="CZ45" s="39">
        <v>0</v>
      </c>
      <c r="DA45" s="39">
        <v>0</v>
      </c>
      <c r="DB45" s="39">
        <v>0</v>
      </c>
      <c r="DC45" s="39">
        <v>0</v>
      </c>
      <c r="DE45" s="37"/>
      <c r="DF45" s="38">
        <v>0</v>
      </c>
      <c r="DG45" s="38">
        <v>0</v>
      </c>
      <c r="DH45" s="38">
        <v>0</v>
      </c>
      <c r="DI45" s="38">
        <v>0</v>
      </c>
      <c r="DJ45" s="38">
        <v>0</v>
      </c>
      <c r="DK45" s="38">
        <v>0</v>
      </c>
      <c r="DL45" s="38">
        <v>0</v>
      </c>
      <c r="DM45" s="38">
        <v>0</v>
      </c>
      <c r="DN45" s="38">
        <v>0</v>
      </c>
      <c r="DO45" s="38">
        <v>0</v>
      </c>
      <c r="DP45" s="38">
        <v>0</v>
      </c>
      <c r="DQ45" s="38">
        <v>1</v>
      </c>
      <c r="DZ45" s="38">
        <v>1</v>
      </c>
      <c r="EA45" s="38">
        <v>1</v>
      </c>
      <c r="EB45" s="65" t="str">
        <f t="shared" si="3"/>
        <v>YES!</v>
      </c>
      <c r="EC45" s="110">
        <v>3400</v>
      </c>
      <c r="ED45" s="112" t="s">
        <v>373</v>
      </c>
      <c r="EE45" s="102">
        <v>35</v>
      </c>
      <c r="EF45" s="100">
        <v>-4.25</v>
      </c>
      <c r="EG45" s="100">
        <v>74.75</v>
      </c>
      <c r="EH45" s="100">
        <v>9.5</v>
      </c>
      <c r="EI45" s="100">
        <v>5.5</v>
      </c>
      <c r="EJ45" s="100">
        <v>22.75</v>
      </c>
      <c r="EK45" s="100">
        <v>149.75</v>
      </c>
      <c r="EL45" s="100">
        <v>54</v>
      </c>
      <c r="EM45" s="100">
        <v>92.5</v>
      </c>
      <c r="EN45" s="101">
        <v>-10.25</v>
      </c>
      <c r="EO45" s="102">
        <v>34301.5</v>
      </c>
      <c r="EP45" s="100">
        <v>18230</v>
      </c>
      <c r="EQ45" s="100">
        <v>91171.25</v>
      </c>
      <c r="ER45" s="100">
        <v>5333.75</v>
      </c>
      <c r="ES45" s="100">
        <v>88.75</v>
      </c>
      <c r="ET45" s="100">
        <v>656.5</v>
      </c>
      <c r="EU45" s="100">
        <v>116370.25</v>
      </c>
      <c r="EV45" s="100">
        <v>78160.25</v>
      </c>
      <c r="EW45" s="100">
        <v>69868.5</v>
      </c>
      <c r="EX45" s="103">
        <v>245</v>
      </c>
    </row>
    <row r="46" spans="1:154" s="38" customFormat="1" ht="55.2" x14ac:dyDescent="0.3">
      <c r="A46" s="90">
        <v>3401</v>
      </c>
      <c r="B46" s="40"/>
      <c r="C46" s="62" t="s">
        <v>149</v>
      </c>
      <c r="D46" s="40">
        <v>64</v>
      </c>
      <c r="E46" s="40">
        <v>0</v>
      </c>
      <c r="F46" s="40">
        <v>0</v>
      </c>
      <c r="G46" s="40" t="s">
        <v>292</v>
      </c>
      <c r="H46" s="40" t="s">
        <v>293</v>
      </c>
      <c r="I46" s="40">
        <v>1.6</v>
      </c>
      <c r="J46" s="40">
        <v>106.1</v>
      </c>
      <c r="K46" s="38">
        <v>1</v>
      </c>
      <c r="L46" s="38">
        <v>1</v>
      </c>
      <c r="M46" s="38">
        <v>1</v>
      </c>
      <c r="N46" s="38">
        <v>0</v>
      </c>
      <c r="O46" s="38">
        <v>0</v>
      </c>
      <c r="P46" s="38">
        <v>0</v>
      </c>
      <c r="Q46" s="38">
        <v>0</v>
      </c>
      <c r="R46" s="38">
        <v>0</v>
      </c>
      <c r="S46" s="38">
        <v>0</v>
      </c>
      <c r="T46" s="38">
        <v>0</v>
      </c>
      <c r="U46" s="38">
        <v>1</v>
      </c>
      <c r="V46" s="38">
        <v>0</v>
      </c>
      <c r="W46" s="38">
        <v>0</v>
      </c>
      <c r="X46" s="38">
        <v>0</v>
      </c>
      <c r="Y46" s="38">
        <v>0</v>
      </c>
      <c r="Z46" s="38">
        <v>0</v>
      </c>
      <c r="AA46" s="38">
        <v>0</v>
      </c>
      <c r="AB46" s="38">
        <v>0</v>
      </c>
      <c r="AC46" s="75" t="s">
        <v>374</v>
      </c>
      <c r="AD46" s="38">
        <v>0</v>
      </c>
      <c r="AE46" s="38">
        <v>0</v>
      </c>
      <c r="AF46" s="38">
        <v>0</v>
      </c>
      <c r="AG46" s="38">
        <v>0</v>
      </c>
      <c r="AH46" s="38">
        <v>0</v>
      </c>
      <c r="AI46" s="38">
        <v>0</v>
      </c>
      <c r="AJ46" s="37" t="s">
        <v>375</v>
      </c>
      <c r="AK46" s="39">
        <v>20019132</v>
      </c>
      <c r="AL46" s="38" t="str">
        <f t="shared" si="1"/>
        <v>NO</v>
      </c>
      <c r="AM46" s="38">
        <v>0</v>
      </c>
      <c r="AN46" s="38">
        <v>0</v>
      </c>
      <c r="AO46" s="39">
        <v>1</v>
      </c>
      <c r="AP46" s="39">
        <v>0</v>
      </c>
      <c r="AQ46" s="39">
        <v>1</v>
      </c>
      <c r="AR46" s="39">
        <v>0</v>
      </c>
      <c r="AS46" s="39">
        <v>0</v>
      </c>
      <c r="AT46" s="39">
        <v>1</v>
      </c>
      <c r="AU46" s="39">
        <v>1</v>
      </c>
      <c r="AV46" s="39">
        <v>0</v>
      </c>
      <c r="AW46" s="39">
        <v>0</v>
      </c>
      <c r="AX46" s="39">
        <v>0</v>
      </c>
      <c r="AY46" s="39">
        <v>0</v>
      </c>
      <c r="AZ46" s="39">
        <v>0</v>
      </c>
      <c r="BA46" s="39">
        <v>0</v>
      </c>
      <c r="BB46" s="39">
        <v>0</v>
      </c>
      <c r="BC46" s="39">
        <v>0</v>
      </c>
      <c r="BD46" s="39">
        <v>0</v>
      </c>
      <c r="BE46" s="39">
        <v>0</v>
      </c>
      <c r="BF46" s="39">
        <v>1</v>
      </c>
      <c r="BG46" s="39">
        <v>1</v>
      </c>
      <c r="BH46" s="39">
        <v>0</v>
      </c>
      <c r="BI46" s="39">
        <v>0</v>
      </c>
      <c r="BJ46" s="39">
        <v>0</v>
      </c>
      <c r="BK46" s="39">
        <v>0</v>
      </c>
      <c r="BL46" s="39">
        <v>0</v>
      </c>
      <c r="BM46" s="39">
        <v>0</v>
      </c>
      <c r="BN46" s="39">
        <v>0</v>
      </c>
      <c r="BO46" s="39">
        <v>0</v>
      </c>
      <c r="BP46" s="39">
        <v>0</v>
      </c>
      <c r="BQ46" s="39">
        <v>0</v>
      </c>
      <c r="BR46" s="39">
        <v>0</v>
      </c>
      <c r="BS46" s="39">
        <v>0</v>
      </c>
      <c r="BT46" s="39">
        <v>0</v>
      </c>
      <c r="BU46" s="39">
        <v>0</v>
      </c>
      <c r="BV46" s="39">
        <v>0</v>
      </c>
      <c r="BW46" s="39">
        <v>1</v>
      </c>
      <c r="BX46" s="39">
        <v>1</v>
      </c>
      <c r="BY46" s="39">
        <v>0</v>
      </c>
      <c r="BZ46" s="39">
        <v>0</v>
      </c>
      <c r="CA46" s="39">
        <v>0</v>
      </c>
      <c r="CB46" s="39">
        <v>0</v>
      </c>
      <c r="CC46" s="39">
        <v>0</v>
      </c>
      <c r="CD46" s="39">
        <v>0</v>
      </c>
      <c r="CE46" s="39">
        <v>0</v>
      </c>
      <c r="CF46" s="39">
        <v>0</v>
      </c>
      <c r="CG46" s="39">
        <v>0</v>
      </c>
      <c r="CH46" s="39">
        <v>0</v>
      </c>
      <c r="CI46" s="39">
        <v>0</v>
      </c>
      <c r="CJ46" s="39">
        <v>0</v>
      </c>
      <c r="CK46" s="39">
        <v>0</v>
      </c>
      <c r="CL46" s="39">
        <v>0</v>
      </c>
      <c r="CM46" s="56">
        <v>44013</v>
      </c>
      <c r="CN46" s="56">
        <v>44013</v>
      </c>
      <c r="CO46" s="48">
        <v>44287</v>
      </c>
      <c r="CP46" s="43">
        <f t="shared" si="5"/>
        <v>274</v>
      </c>
      <c r="CQ46" s="43" t="e">
        <f t="shared" si="6"/>
        <v>#VALUE!</v>
      </c>
      <c r="CR46" s="39" t="s">
        <v>184</v>
      </c>
      <c r="CS46" s="39" t="s">
        <v>376</v>
      </c>
      <c r="CT46" s="86">
        <v>1</v>
      </c>
      <c r="CU46" s="39">
        <v>0</v>
      </c>
      <c r="CV46" s="39">
        <v>1</v>
      </c>
      <c r="CW46" s="39" t="s">
        <v>290</v>
      </c>
      <c r="CX46" s="39">
        <v>0</v>
      </c>
      <c r="CY46" s="39">
        <v>0</v>
      </c>
      <c r="CZ46" s="39">
        <v>0</v>
      </c>
      <c r="DA46" s="39">
        <v>0</v>
      </c>
      <c r="DB46" s="39">
        <v>0</v>
      </c>
      <c r="DC46" s="39">
        <v>0</v>
      </c>
      <c r="DE46" s="37"/>
      <c r="DF46" s="38">
        <v>0</v>
      </c>
      <c r="DG46" s="38">
        <v>0</v>
      </c>
      <c r="DH46" s="38">
        <v>0</v>
      </c>
      <c r="DI46" s="38">
        <v>0</v>
      </c>
      <c r="DJ46" s="38">
        <v>0</v>
      </c>
      <c r="DK46" s="38">
        <v>0</v>
      </c>
      <c r="DL46" s="38">
        <v>0</v>
      </c>
      <c r="DM46" s="38">
        <v>0</v>
      </c>
      <c r="DN46" s="38">
        <v>0</v>
      </c>
      <c r="DO46" s="38">
        <v>0</v>
      </c>
      <c r="DP46" s="38">
        <v>0</v>
      </c>
      <c r="DQ46" s="38">
        <v>1</v>
      </c>
      <c r="DZ46" s="38">
        <v>1</v>
      </c>
      <c r="EA46" s="38">
        <v>1</v>
      </c>
      <c r="EB46" s="65" t="str">
        <f t="shared" si="3"/>
        <v>YES!</v>
      </c>
      <c r="EC46" s="110">
        <v>3401</v>
      </c>
      <c r="ED46" s="112" t="s">
        <v>377</v>
      </c>
      <c r="EE46" s="102">
        <v>22.25</v>
      </c>
      <c r="EF46" s="100">
        <v>34</v>
      </c>
      <c r="EG46" s="100">
        <v>77.25</v>
      </c>
      <c r="EH46" s="100">
        <v>26.25</v>
      </c>
      <c r="EI46" s="100">
        <v>28.5</v>
      </c>
      <c r="EJ46" s="100">
        <v>99.25</v>
      </c>
      <c r="EK46" s="100">
        <v>62.5</v>
      </c>
      <c r="EL46" s="100">
        <v>245.25</v>
      </c>
      <c r="EM46" s="100">
        <v>234.5</v>
      </c>
      <c r="EN46" s="101">
        <v>42</v>
      </c>
      <c r="EO46" s="102">
        <v>42653.5</v>
      </c>
      <c r="EP46" s="100">
        <v>32694.25</v>
      </c>
      <c r="EQ46" s="100">
        <v>75011.75</v>
      </c>
      <c r="ER46" s="100">
        <v>7132.25</v>
      </c>
      <c r="ES46" s="100">
        <v>64707</v>
      </c>
      <c r="ET46" s="100">
        <v>26211</v>
      </c>
      <c r="EU46" s="100">
        <v>75262.5</v>
      </c>
      <c r="EV46" s="100">
        <v>149438</v>
      </c>
      <c r="EW46" s="100">
        <v>127294.25</v>
      </c>
      <c r="EX46" s="103">
        <v>70003.75</v>
      </c>
    </row>
    <row r="47" spans="1:154" s="38" customFormat="1" ht="69" x14ac:dyDescent="0.3">
      <c r="A47" s="90">
        <v>3404</v>
      </c>
      <c r="B47" s="63"/>
      <c r="C47" s="62" t="s">
        <v>149</v>
      </c>
      <c r="D47" s="40">
        <v>21</v>
      </c>
      <c r="E47" s="40">
        <v>1</v>
      </c>
      <c r="F47" s="40" t="s">
        <v>378</v>
      </c>
      <c r="G47" s="40" t="s">
        <v>150</v>
      </c>
      <c r="H47" s="40" t="s">
        <v>151</v>
      </c>
      <c r="I47" s="40"/>
      <c r="J47" s="40">
        <v>73</v>
      </c>
      <c r="K47" s="38">
        <v>0</v>
      </c>
      <c r="L47" s="38">
        <v>0</v>
      </c>
      <c r="M47" s="38">
        <v>0</v>
      </c>
      <c r="N47" s="38">
        <v>0</v>
      </c>
      <c r="O47" s="38">
        <v>1</v>
      </c>
      <c r="P47" s="38">
        <v>0</v>
      </c>
      <c r="Q47" s="38">
        <v>0</v>
      </c>
      <c r="R47" s="38">
        <v>0</v>
      </c>
      <c r="S47" s="38">
        <v>0</v>
      </c>
      <c r="T47" s="38">
        <v>1</v>
      </c>
      <c r="U47" s="38">
        <v>0</v>
      </c>
      <c r="V47" s="38">
        <v>0</v>
      </c>
      <c r="W47" s="38">
        <v>0</v>
      </c>
      <c r="X47" s="38">
        <v>0</v>
      </c>
      <c r="Y47" s="38">
        <v>0</v>
      </c>
      <c r="Z47" s="38">
        <v>0</v>
      </c>
      <c r="AA47" s="38">
        <v>0</v>
      </c>
      <c r="AB47" s="38">
        <v>0</v>
      </c>
      <c r="AC47" s="75" t="s">
        <v>379</v>
      </c>
      <c r="AD47" s="38">
        <v>0</v>
      </c>
      <c r="AE47" s="38">
        <v>0</v>
      </c>
      <c r="AF47" s="38">
        <v>0</v>
      </c>
      <c r="AG47" s="38">
        <v>0</v>
      </c>
      <c r="AH47" s="38">
        <v>0</v>
      </c>
      <c r="AI47" s="38">
        <v>0</v>
      </c>
      <c r="AJ47" s="37" t="s">
        <v>380</v>
      </c>
      <c r="AK47" s="39">
        <v>100246345</v>
      </c>
      <c r="AL47" s="38" t="str">
        <f t="shared" si="1"/>
        <v>NO</v>
      </c>
      <c r="AM47" s="38">
        <v>0</v>
      </c>
      <c r="AN47" s="38">
        <v>0</v>
      </c>
      <c r="AO47" s="39">
        <v>0</v>
      </c>
      <c r="AP47" s="39">
        <v>0</v>
      </c>
      <c r="AQ47" s="39">
        <v>0</v>
      </c>
      <c r="AR47" s="39">
        <v>0</v>
      </c>
      <c r="AS47" s="39">
        <v>0</v>
      </c>
      <c r="AT47" s="39">
        <v>0</v>
      </c>
      <c r="AU47" s="39">
        <v>0</v>
      </c>
      <c r="AV47" s="39">
        <v>0</v>
      </c>
      <c r="AW47" s="39">
        <v>0</v>
      </c>
      <c r="AX47" s="39">
        <v>0</v>
      </c>
      <c r="AY47" s="39">
        <v>0</v>
      </c>
      <c r="AZ47" s="39">
        <v>0</v>
      </c>
      <c r="BA47" s="39">
        <v>0</v>
      </c>
      <c r="BB47" s="39">
        <v>0</v>
      </c>
      <c r="BC47" s="39">
        <v>0</v>
      </c>
      <c r="BD47" s="39">
        <v>0</v>
      </c>
      <c r="BE47" s="39">
        <v>0</v>
      </c>
      <c r="BF47" s="39">
        <v>0</v>
      </c>
      <c r="BG47" s="39">
        <v>1</v>
      </c>
      <c r="BH47" s="39">
        <v>0</v>
      </c>
      <c r="BI47" s="39">
        <v>0</v>
      </c>
      <c r="BJ47" s="39">
        <v>0</v>
      </c>
      <c r="BK47" s="39">
        <v>0</v>
      </c>
      <c r="BL47" s="39">
        <v>0</v>
      </c>
      <c r="BM47" s="39">
        <v>0</v>
      </c>
      <c r="BN47" s="39">
        <v>0</v>
      </c>
      <c r="BO47" s="39">
        <v>0</v>
      </c>
      <c r="BP47" s="39">
        <v>0</v>
      </c>
      <c r="BQ47" s="39">
        <v>0</v>
      </c>
      <c r="BR47" s="39">
        <v>0</v>
      </c>
      <c r="BS47" s="39">
        <v>0</v>
      </c>
      <c r="BT47" s="39">
        <v>0</v>
      </c>
      <c r="BU47" s="39">
        <v>0</v>
      </c>
      <c r="BV47" s="39">
        <v>0</v>
      </c>
      <c r="BW47" s="39">
        <v>0</v>
      </c>
      <c r="BX47" s="39">
        <v>0</v>
      </c>
      <c r="BY47" s="39">
        <v>0</v>
      </c>
      <c r="BZ47" s="39">
        <v>0</v>
      </c>
      <c r="CA47" s="39">
        <v>0</v>
      </c>
      <c r="CB47" s="39">
        <v>0</v>
      </c>
      <c r="CC47" s="39">
        <v>0</v>
      </c>
      <c r="CD47" s="39">
        <v>0</v>
      </c>
      <c r="CE47" s="39">
        <v>0</v>
      </c>
      <c r="CF47" s="39">
        <v>0</v>
      </c>
      <c r="CG47" s="39">
        <v>0</v>
      </c>
      <c r="CH47" s="39">
        <v>1</v>
      </c>
      <c r="CI47" s="39">
        <v>0</v>
      </c>
      <c r="CJ47" s="39">
        <v>0</v>
      </c>
      <c r="CK47" s="39">
        <v>0</v>
      </c>
      <c r="CL47" s="39">
        <v>0</v>
      </c>
      <c r="CM47" s="56">
        <v>44211</v>
      </c>
      <c r="CN47" s="56">
        <v>44211</v>
      </c>
      <c r="CO47" s="48">
        <v>44287</v>
      </c>
      <c r="CP47" s="43">
        <f t="shared" si="5"/>
        <v>76</v>
      </c>
      <c r="CQ47" s="43" t="e">
        <f t="shared" si="6"/>
        <v>#VALUE!</v>
      </c>
      <c r="CR47" s="39" t="s">
        <v>184</v>
      </c>
      <c r="CS47" s="39" t="s">
        <v>184</v>
      </c>
      <c r="CT47" s="86"/>
      <c r="CU47" s="39">
        <v>1</v>
      </c>
      <c r="CV47" s="39">
        <v>0</v>
      </c>
      <c r="CW47" s="39"/>
      <c r="CX47" s="39">
        <v>0</v>
      </c>
      <c r="CY47" s="39">
        <v>0</v>
      </c>
      <c r="CZ47" s="39">
        <v>0</v>
      </c>
      <c r="DA47" s="39">
        <v>0</v>
      </c>
      <c r="DB47" s="39">
        <v>0</v>
      </c>
      <c r="DC47" s="39">
        <v>0</v>
      </c>
      <c r="DE47" s="37"/>
      <c r="DF47" s="38">
        <v>0</v>
      </c>
      <c r="DG47" s="38">
        <v>0</v>
      </c>
      <c r="DH47" s="38">
        <v>0</v>
      </c>
      <c r="DI47" s="38">
        <v>0</v>
      </c>
      <c r="DJ47" s="38">
        <v>0</v>
      </c>
      <c r="DK47" s="38">
        <v>0</v>
      </c>
      <c r="DL47" s="38">
        <v>0</v>
      </c>
      <c r="DM47" s="38">
        <v>0</v>
      </c>
      <c r="DN47" s="38">
        <v>0</v>
      </c>
      <c r="DO47" s="38">
        <v>0</v>
      </c>
      <c r="DP47" s="38">
        <v>0</v>
      </c>
      <c r="DQ47" s="38">
        <v>1</v>
      </c>
      <c r="DZ47" s="38">
        <v>1</v>
      </c>
      <c r="EA47" s="38">
        <v>1</v>
      </c>
      <c r="EB47" s="65" t="str">
        <f t="shared" si="3"/>
        <v>YES!</v>
      </c>
      <c r="EC47" s="110">
        <v>3404</v>
      </c>
      <c r="ED47" s="112" t="s">
        <v>381</v>
      </c>
      <c r="EE47" s="102">
        <v>89.5</v>
      </c>
      <c r="EF47" s="100">
        <v>56.5</v>
      </c>
      <c r="EG47" s="100">
        <v>145.25</v>
      </c>
      <c r="EH47" s="100">
        <v>55.5</v>
      </c>
      <c r="EI47" s="100">
        <v>9</v>
      </c>
      <c r="EJ47" s="100">
        <v>-7</v>
      </c>
      <c r="EK47" s="100">
        <v>51.5</v>
      </c>
      <c r="EL47" s="100">
        <v>184.25</v>
      </c>
      <c r="EM47" s="100">
        <v>99.5</v>
      </c>
      <c r="EN47" s="101">
        <v>10.75</v>
      </c>
      <c r="EO47" s="102">
        <v>28745</v>
      </c>
      <c r="EP47" s="100">
        <v>18876.5</v>
      </c>
      <c r="EQ47" s="100">
        <v>62798.5</v>
      </c>
      <c r="ER47" s="100">
        <v>35519.25</v>
      </c>
      <c r="ES47" s="100">
        <v>120828.25</v>
      </c>
      <c r="ET47" s="100">
        <v>93548</v>
      </c>
      <c r="EU47" s="100">
        <v>110433.75</v>
      </c>
      <c r="EV47" s="100">
        <v>94926.5</v>
      </c>
      <c r="EW47" s="100">
        <v>82881.25</v>
      </c>
      <c r="EX47" s="103">
        <v>3930.5</v>
      </c>
    </row>
    <row r="48" spans="1:154" s="38" customFormat="1" ht="43.2" x14ac:dyDescent="0.3">
      <c r="A48" s="36">
        <v>3427</v>
      </c>
      <c r="B48" s="63"/>
      <c r="C48" s="62" t="s">
        <v>149</v>
      </c>
      <c r="D48" s="40">
        <v>56</v>
      </c>
      <c r="E48" s="40">
        <v>0</v>
      </c>
      <c r="F48" s="40">
        <v>0</v>
      </c>
      <c r="G48" s="40" t="s">
        <v>150</v>
      </c>
      <c r="H48" s="40" t="s">
        <v>180</v>
      </c>
      <c r="I48" s="40">
        <v>1.65</v>
      </c>
      <c r="J48" s="40">
        <v>83.6</v>
      </c>
      <c r="K48" s="38">
        <v>0</v>
      </c>
      <c r="L48" s="38">
        <v>0</v>
      </c>
      <c r="M48" s="38">
        <v>0</v>
      </c>
      <c r="N48" s="38">
        <v>0</v>
      </c>
      <c r="O48" s="38">
        <v>0</v>
      </c>
      <c r="P48" s="38">
        <v>0</v>
      </c>
      <c r="Q48" s="38">
        <v>0</v>
      </c>
      <c r="R48" s="38">
        <v>0</v>
      </c>
      <c r="S48" s="38">
        <v>0</v>
      </c>
      <c r="T48" s="38">
        <v>0</v>
      </c>
      <c r="U48" s="38">
        <v>1</v>
      </c>
      <c r="V48" s="38">
        <v>0</v>
      </c>
      <c r="W48" s="38">
        <v>0</v>
      </c>
      <c r="X48" s="38">
        <v>0</v>
      </c>
      <c r="Y48" s="38">
        <v>0</v>
      </c>
      <c r="Z48" s="38">
        <v>0</v>
      </c>
      <c r="AA48" s="38">
        <v>0</v>
      </c>
      <c r="AB48" s="38">
        <v>0</v>
      </c>
      <c r="AC48" s="75" t="s">
        <v>382</v>
      </c>
      <c r="AD48" s="38">
        <v>0</v>
      </c>
      <c r="AE48" s="38">
        <v>1</v>
      </c>
      <c r="AF48" s="38">
        <v>0</v>
      </c>
      <c r="AG48" s="38">
        <v>0</v>
      </c>
      <c r="AH48" s="38">
        <v>0</v>
      </c>
      <c r="AI48" s="38">
        <v>0</v>
      </c>
      <c r="AJ48" s="37" t="s">
        <v>383</v>
      </c>
      <c r="AK48" s="39">
        <v>97566590</v>
      </c>
      <c r="AL48" s="38" t="str">
        <f t="shared" si="1"/>
        <v>NO</v>
      </c>
      <c r="AM48" s="38">
        <v>0</v>
      </c>
      <c r="AN48" s="38">
        <v>0</v>
      </c>
      <c r="AO48" s="39">
        <v>1</v>
      </c>
      <c r="AP48" s="39">
        <v>0</v>
      </c>
      <c r="AQ48" s="39">
        <v>1</v>
      </c>
      <c r="AR48" s="39">
        <v>1</v>
      </c>
      <c r="AS48" s="39">
        <v>1</v>
      </c>
      <c r="AT48" s="39">
        <v>0</v>
      </c>
      <c r="AU48" s="39">
        <v>0</v>
      </c>
      <c r="AV48" s="39">
        <v>0</v>
      </c>
      <c r="AW48" s="39">
        <v>0</v>
      </c>
      <c r="AX48" s="39">
        <v>0</v>
      </c>
      <c r="AY48" s="39">
        <v>1</v>
      </c>
      <c r="AZ48" s="39">
        <v>1</v>
      </c>
      <c r="BA48" s="39">
        <v>0</v>
      </c>
      <c r="BB48" s="39">
        <v>0</v>
      </c>
      <c r="BC48" s="39">
        <v>0</v>
      </c>
      <c r="BD48" s="39">
        <v>0</v>
      </c>
      <c r="BE48" s="39">
        <v>0</v>
      </c>
      <c r="BF48" s="39">
        <v>0</v>
      </c>
      <c r="BG48" s="39">
        <v>0</v>
      </c>
      <c r="BH48" s="39">
        <v>0</v>
      </c>
      <c r="BI48" s="39">
        <v>1</v>
      </c>
      <c r="BJ48" s="39">
        <v>0</v>
      </c>
      <c r="BK48" s="39">
        <v>0</v>
      </c>
      <c r="BL48" s="39">
        <v>0</v>
      </c>
      <c r="BM48" s="39">
        <v>0</v>
      </c>
      <c r="BN48" s="39">
        <v>0</v>
      </c>
      <c r="BO48" s="39">
        <v>1</v>
      </c>
      <c r="BP48" s="39">
        <v>0</v>
      </c>
      <c r="BQ48" s="39">
        <v>0</v>
      </c>
      <c r="BR48" s="39">
        <v>1</v>
      </c>
      <c r="BS48" s="39">
        <v>1</v>
      </c>
      <c r="BT48" s="39">
        <v>0</v>
      </c>
      <c r="BU48" s="39">
        <v>1</v>
      </c>
      <c r="BV48" s="39">
        <v>1</v>
      </c>
      <c r="BW48" s="39">
        <v>0</v>
      </c>
      <c r="BX48" s="39">
        <v>1</v>
      </c>
      <c r="BY48" s="39">
        <v>1</v>
      </c>
      <c r="BZ48" s="39">
        <v>0</v>
      </c>
      <c r="CA48" s="39">
        <v>0</v>
      </c>
      <c r="CB48" s="39">
        <v>0</v>
      </c>
      <c r="CC48" s="39">
        <v>0</v>
      </c>
      <c r="CD48" s="39">
        <v>0</v>
      </c>
      <c r="CE48" s="39">
        <v>0</v>
      </c>
      <c r="CF48" s="39">
        <v>0</v>
      </c>
      <c r="CG48" s="39">
        <v>0</v>
      </c>
      <c r="CH48" s="39">
        <v>0</v>
      </c>
      <c r="CI48" s="39">
        <v>0</v>
      </c>
      <c r="CJ48" s="39">
        <v>0</v>
      </c>
      <c r="CK48" s="39">
        <v>0</v>
      </c>
      <c r="CL48" s="39">
        <v>0</v>
      </c>
      <c r="CM48" s="56">
        <v>44226</v>
      </c>
      <c r="CN48" s="56">
        <v>44226</v>
      </c>
      <c r="CO48" s="48">
        <v>44295</v>
      </c>
      <c r="CP48" s="43">
        <f t="shared" si="5"/>
        <v>69</v>
      </c>
      <c r="CQ48" s="43" t="e">
        <f t="shared" si="6"/>
        <v>#VALUE!</v>
      </c>
      <c r="CR48" s="39" t="s">
        <v>184</v>
      </c>
      <c r="CS48" s="39" t="s">
        <v>384</v>
      </c>
      <c r="CT48" s="86">
        <v>2</v>
      </c>
      <c r="CU48" s="39">
        <v>0</v>
      </c>
      <c r="CV48" s="39">
        <v>1</v>
      </c>
      <c r="CW48" s="39"/>
      <c r="CX48" s="39">
        <v>0</v>
      </c>
      <c r="CY48" s="39">
        <v>0</v>
      </c>
      <c r="CZ48" s="39">
        <v>0</v>
      </c>
      <c r="DA48" s="39">
        <v>0</v>
      </c>
      <c r="DB48" s="39">
        <v>0</v>
      </c>
      <c r="DC48" s="39">
        <v>0</v>
      </c>
      <c r="DD48" s="38">
        <v>1</v>
      </c>
      <c r="DE48" s="37"/>
      <c r="DF48" s="38">
        <v>1</v>
      </c>
      <c r="DG48" s="38">
        <v>0</v>
      </c>
      <c r="DH48" s="38">
        <v>0</v>
      </c>
      <c r="DI48" s="38">
        <v>0</v>
      </c>
      <c r="DJ48" s="38">
        <v>0</v>
      </c>
      <c r="DK48" s="38">
        <v>0</v>
      </c>
      <c r="DL48" s="38">
        <v>0</v>
      </c>
      <c r="DM48" s="38">
        <v>0</v>
      </c>
      <c r="DN48" s="38">
        <v>0</v>
      </c>
      <c r="DO48" s="38">
        <v>0</v>
      </c>
      <c r="DP48" s="38">
        <v>0</v>
      </c>
      <c r="DQ48" s="38">
        <v>0</v>
      </c>
      <c r="DZ48" s="38">
        <v>7</v>
      </c>
      <c r="EA48" s="38">
        <v>3</v>
      </c>
      <c r="EB48" s="65" t="str">
        <f t="shared" si="3"/>
        <v>YES!</v>
      </c>
      <c r="EC48" s="110">
        <v>3427</v>
      </c>
      <c r="ED48" s="112" t="s">
        <v>385</v>
      </c>
      <c r="EE48" s="102">
        <v>135.25</v>
      </c>
      <c r="EF48" s="100">
        <v>85</v>
      </c>
      <c r="EG48" s="100">
        <v>280.5</v>
      </c>
      <c r="EH48" s="100">
        <v>18</v>
      </c>
      <c r="EI48" s="100">
        <v>255</v>
      </c>
      <c r="EJ48" s="100">
        <v>1311.5</v>
      </c>
      <c r="EK48" s="100">
        <v>39.5</v>
      </c>
      <c r="EL48" s="100">
        <v>92</v>
      </c>
      <c r="EM48" s="100">
        <v>52.75</v>
      </c>
      <c r="EN48" s="101">
        <v>1</v>
      </c>
      <c r="EO48" s="102">
        <v>147871.75</v>
      </c>
      <c r="EP48" s="100">
        <v>82947.5</v>
      </c>
      <c r="EQ48" s="100">
        <v>196497.25</v>
      </c>
      <c r="ER48" s="100">
        <v>23175.5</v>
      </c>
      <c r="ES48" s="100">
        <v>131601.5</v>
      </c>
      <c r="ET48" s="100">
        <v>196282.25</v>
      </c>
      <c r="EU48" s="100">
        <v>103385.5</v>
      </c>
      <c r="EV48" s="100">
        <v>85933.75</v>
      </c>
      <c r="EW48" s="100">
        <v>58069</v>
      </c>
      <c r="EX48" s="103">
        <v>158.25</v>
      </c>
    </row>
    <row r="49" spans="1:154" s="38" customFormat="1" ht="43.2" x14ac:dyDescent="0.3">
      <c r="A49" s="90">
        <v>3438</v>
      </c>
      <c r="B49" s="63"/>
      <c r="C49" s="62" t="s">
        <v>165</v>
      </c>
      <c r="D49" s="40">
        <v>54</v>
      </c>
      <c r="E49" s="40">
        <v>0</v>
      </c>
      <c r="F49" s="40">
        <v>0</v>
      </c>
      <c r="G49" s="40" t="s">
        <v>150</v>
      </c>
      <c r="H49" s="40" t="s">
        <v>151</v>
      </c>
      <c r="I49" s="40"/>
      <c r="J49" s="40">
        <v>82.6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1</v>
      </c>
      <c r="R49" s="38">
        <v>0</v>
      </c>
      <c r="S49" s="38">
        <v>0</v>
      </c>
      <c r="T49" s="38">
        <v>0</v>
      </c>
      <c r="U49" s="38">
        <v>0</v>
      </c>
      <c r="V49" s="38">
        <v>0</v>
      </c>
      <c r="W49" s="38">
        <v>0</v>
      </c>
      <c r="X49" s="38">
        <v>0</v>
      </c>
      <c r="Y49" s="38">
        <v>0</v>
      </c>
      <c r="Z49" s="38">
        <v>0</v>
      </c>
      <c r="AA49" s="38">
        <v>0</v>
      </c>
      <c r="AB49" s="38">
        <v>0</v>
      </c>
      <c r="AC49" s="75" t="s">
        <v>386</v>
      </c>
      <c r="AD49" s="38">
        <v>0</v>
      </c>
      <c r="AE49" s="38">
        <v>0</v>
      </c>
      <c r="AF49" s="38">
        <v>0</v>
      </c>
      <c r="AG49" s="38">
        <v>0</v>
      </c>
      <c r="AH49" s="38">
        <v>0</v>
      </c>
      <c r="AI49" s="38">
        <v>0</v>
      </c>
      <c r="AJ49" s="37"/>
      <c r="AK49" s="39">
        <v>2558453</v>
      </c>
      <c r="AL49" s="38" t="str">
        <f t="shared" si="1"/>
        <v>NO</v>
      </c>
      <c r="AM49" s="38">
        <v>0</v>
      </c>
      <c r="AN49" s="38">
        <v>0</v>
      </c>
      <c r="AO49" s="39">
        <v>1</v>
      </c>
      <c r="AP49" s="39">
        <v>0</v>
      </c>
      <c r="AQ49" s="39">
        <v>1</v>
      </c>
      <c r="AR49" s="39">
        <v>1</v>
      </c>
      <c r="AS49" s="39">
        <v>1</v>
      </c>
      <c r="AT49" s="39">
        <v>0</v>
      </c>
      <c r="AU49" s="39">
        <v>0</v>
      </c>
      <c r="AV49" s="39">
        <v>0</v>
      </c>
      <c r="AW49" s="39">
        <v>0</v>
      </c>
      <c r="AX49" s="39">
        <v>0</v>
      </c>
      <c r="AY49" s="39">
        <v>0</v>
      </c>
      <c r="AZ49" s="39">
        <v>0</v>
      </c>
      <c r="BA49" s="39">
        <v>0</v>
      </c>
      <c r="BB49" s="39">
        <v>0</v>
      </c>
      <c r="BC49" s="39">
        <v>0</v>
      </c>
      <c r="BD49" s="39">
        <v>0</v>
      </c>
      <c r="BE49" s="39">
        <v>0</v>
      </c>
      <c r="BF49" s="39">
        <v>0</v>
      </c>
      <c r="BG49" s="39">
        <v>0</v>
      </c>
      <c r="BH49" s="39">
        <v>0</v>
      </c>
      <c r="BI49" s="39">
        <v>0</v>
      </c>
      <c r="BJ49" s="39">
        <v>0</v>
      </c>
      <c r="BK49" s="39">
        <v>0</v>
      </c>
      <c r="BL49" s="39">
        <v>0</v>
      </c>
      <c r="BM49" s="39">
        <v>0</v>
      </c>
      <c r="BN49" s="39">
        <v>0</v>
      </c>
      <c r="BO49" s="39">
        <v>0</v>
      </c>
      <c r="BP49" s="39">
        <v>0</v>
      </c>
      <c r="BQ49" s="39">
        <v>0</v>
      </c>
      <c r="BR49" s="39">
        <v>0</v>
      </c>
      <c r="BS49" s="39">
        <v>0</v>
      </c>
      <c r="BT49" s="39">
        <v>0</v>
      </c>
      <c r="BU49" s="39">
        <v>1</v>
      </c>
      <c r="BV49" s="39">
        <v>0</v>
      </c>
      <c r="BW49" s="39">
        <v>0</v>
      </c>
      <c r="BX49" s="39">
        <v>0</v>
      </c>
      <c r="BY49" s="39">
        <v>0</v>
      </c>
      <c r="BZ49" s="39">
        <v>0</v>
      </c>
      <c r="CA49" s="39">
        <v>0</v>
      </c>
      <c r="CB49" s="39">
        <v>0</v>
      </c>
      <c r="CC49" s="39">
        <v>0</v>
      </c>
      <c r="CD49" s="39">
        <v>0</v>
      </c>
      <c r="CE49" s="39">
        <v>0</v>
      </c>
      <c r="CF49" s="39">
        <v>0</v>
      </c>
      <c r="CG49" s="39">
        <v>0</v>
      </c>
      <c r="CH49" s="39">
        <v>0</v>
      </c>
      <c r="CI49" s="39">
        <v>0</v>
      </c>
      <c r="CJ49" s="39">
        <v>0</v>
      </c>
      <c r="CK49" s="39">
        <v>0</v>
      </c>
      <c r="CL49" s="39">
        <v>0</v>
      </c>
      <c r="CM49" s="56">
        <v>44187</v>
      </c>
      <c r="CN49" s="56">
        <v>44187</v>
      </c>
      <c r="CO49" s="48">
        <v>44301</v>
      </c>
      <c r="CP49" s="43">
        <f t="shared" si="5"/>
        <v>114</v>
      </c>
      <c r="CQ49" s="43" t="e">
        <f t="shared" si="6"/>
        <v>#VALUE!</v>
      </c>
      <c r="CR49" s="39" t="s">
        <v>184</v>
      </c>
      <c r="CS49" s="39" t="s">
        <v>387</v>
      </c>
      <c r="CT49" s="86">
        <v>2</v>
      </c>
      <c r="CU49" s="39">
        <v>0</v>
      </c>
      <c r="CV49" s="39">
        <v>0</v>
      </c>
      <c r="CW49" s="39"/>
      <c r="CX49" s="39">
        <v>0</v>
      </c>
      <c r="CY49" s="39">
        <v>0</v>
      </c>
      <c r="CZ49" s="39">
        <v>0</v>
      </c>
      <c r="DA49" s="39">
        <v>1</v>
      </c>
      <c r="DB49" s="39">
        <v>0</v>
      </c>
      <c r="DC49" s="39">
        <v>0</v>
      </c>
      <c r="DD49" s="38">
        <v>1</v>
      </c>
      <c r="DE49" s="37" t="s">
        <v>388</v>
      </c>
      <c r="DF49" s="38">
        <v>1</v>
      </c>
      <c r="DG49" s="38">
        <v>0</v>
      </c>
      <c r="DH49" s="38">
        <v>0</v>
      </c>
      <c r="DI49" s="38">
        <v>0</v>
      </c>
      <c r="DJ49" s="38">
        <v>0</v>
      </c>
      <c r="DK49" s="38">
        <v>0</v>
      </c>
      <c r="DL49" s="38">
        <v>0</v>
      </c>
      <c r="DM49" s="38">
        <v>0</v>
      </c>
      <c r="DN49" s="38">
        <v>0</v>
      </c>
      <c r="DO49" s="38">
        <v>0</v>
      </c>
      <c r="DP49" s="38">
        <v>0</v>
      </c>
      <c r="DQ49" s="38">
        <v>0</v>
      </c>
      <c r="DZ49" s="38">
        <v>1</v>
      </c>
      <c r="EA49" s="38">
        <v>1</v>
      </c>
      <c r="EB49" s="65" t="str">
        <f t="shared" si="3"/>
        <v>YES!</v>
      </c>
      <c r="EC49" s="110">
        <v>3438</v>
      </c>
      <c r="ED49" s="112" t="s">
        <v>389</v>
      </c>
      <c r="EE49" s="102">
        <v>792.75</v>
      </c>
      <c r="EF49" s="100">
        <v>554.75</v>
      </c>
      <c r="EG49" s="100">
        <v>1564.5</v>
      </c>
      <c r="EH49" s="100">
        <v>10.25</v>
      </c>
      <c r="EI49" s="100">
        <v>43</v>
      </c>
      <c r="EJ49" s="100">
        <v>138.75</v>
      </c>
      <c r="EK49" s="100">
        <v>154.5</v>
      </c>
      <c r="EL49" s="100">
        <v>32</v>
      </c>
      <c r="EM49" s="100">
        <v>261.75</v>
      </c>
      <c r="EN49" s="101">
        <v>98.75</v>
      </c>
      <c r="EO49" s="102">
        <v>166384.5</v>
      </c>
      <c r="EP49" s="100">
        <v>130882</v>
      </c>
      <c r="EQ49" s="100">
        <v>149708.25</v>
      </c>
      <c r="ER49" s="100">
        <v>80187.75</v>
      </c>
      <c r="ES49" s="100">
        <v>35784</v>
      </c>
      <c r="ET49" s="100">
        <v>21164.5</v>
      </c>
      <c r="EU49" s="100">
        <v>88320.75</v>
      </c>
      <c r="EV49" s="100">
        <v>52044.25</v>
      </c>
      <c r="EW49" s="100">
        <v>70367.25</v>
      </c>
      <c r="EX49" s="103">
        <v>96811.75</v>
      </c>
    </row>
    <row r="50" spans="1:154" s="38" customFormat="1" ht="43.2" x14ac:dyDescent="0.3">
      <c r="A50" s="90">
        <v>3459</v>
      </c>
      <c r="B50" s="63"/>
      <c r="C50" s="62" t="s">
        <v>149</v>
      </c>
      <c r="D50" s="40">
        <v>44</v>
      </c>
      <c r="E50" s="40">
        <v>0</v>
      </c>
      <c r="F50" s="40">
        <v>0</v>
      </c>
      <c r="G50" s="40" t="s">
        <v>150</v>
      </c>
      <c r="H50" s="40" t="s">
        <v>151</v>
      </c>
      <c r="I50" s="40"/>
      <c r="J50" s="40">
        <v>57.4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38">
        <v>0</v>
      </c>
      <c r="Q50" s="38">
        <v>0</v>
      </c>
      <c r="R50" s="38">
        <v>0</v>
      </c>
      <c r="S50" s="38">
        <v>0</v>
      </c>
      <c r="T50" s="38">
        <v>1</v>
      </c>
      <c r="U50" s="38">
        <v>0</v>
      </c>
      <c r="V50" s="38">
        <v>0</v>
      </c>
      <c r="W50" s="38">
        <v>0</v>
      </c>
      <c r="X50" s="38">
        <v>1</v>
      </c>
      <c r="Y50" s="38">
        <v>1</v>
      </c>
      <c r="Z50" s="38">
        <v>1</v>
      </c>
      <c r="AA50" s="38">
        <v>0</v>
      </c>
      <c r="AB50" s="38">
        <v>0</v>
      </c>
      <c r="AC50" s="75" t="s">
        <v>390</v>
      </c>
      <c r="AD50" s="38">
        <v>0</v>
      </c>
      <c r="AE50" s="38">
        <v>0</v>
      </c>
      <c r="AF50" s="38">
        <v>0</v>
      </c>
      <c r="AG50" s="38">
        <v>0</v>
      </c>
      <c r="AH50" s="38">
        <v>0</v>
      </c>
      <c r="AI50" s="38">
        <v>0</v>
      </c>
      <c r="AJ50" s="37" t="s">
        <v>391</v>
      </c>
      <c r="AK50" s="39">
        <v>20446894</v>
      </c>
      <c r="AL50" s="38" t="str">
        <f t="shared" si="1"/>
        <v>NO</v>
      </c>
      <c r="AM50" s="38">
        <v>0</v>
      </c>
      <c r="AN50" s="38">
        <v>0</v>
      </c>
      <c r="AO50" s="39">
        <v>1</v>
      </c>
      <c r="AP50" s="39">
        <v>0</v>
      </c>
      <c r="AQ50" s="39">
        <v>1</v>
      </c>
      <c r="AR50" s="39">
        <v>0</v>
      </c>
      <c r="AS50" s="39">
        <v>0</v>
      </c>
      <c r="AT50" s="39">
        <v>0</v>
      </c>
      <c r="AU50" s="39">
        <v>0</v>
      </c>
      <c r="AV50" s="39">
        <v>0</v>
      </c>
      <c r="AW50" s="39">
        <v>0</v>
      </c>
      <c r="AX50" s="39">
        <v>0</v>
      </c>
      <c r="AY50" s="39">
        <v>0</v>
      </c>
      <c r="AZ50" s="39">
        <v>0</v>
      </c>
      <c r="BA50" s="39">
        <v>0</v>
      </c>
      <c r="BB50" s="39">
        <v>0</v>
      </c>
      <c r="BC50" s="39">
        <v>0</v>
      </c>
      <c r="BD50" s="39">
        <v>0</v>
      </c>
      <c r="BE50" s="39">
        <v>0</v>
      </c>
      <c r="BF50" s="39">
        <v>1</v>
      </c>
      <c r="BG50" s="39">
        <v>1</v>
      </c>
      <c r="BH50" s="39">
        <v>0</v>
      </c>
      <c r="BI50" s="39">
        <v>0</v>
      </c>
      <c r="BJ50" s="39">
        <v>0</v>
      </c>
      <c r="BK50" s="39">
        <v>0</v>
      </c>
      <c r="BL50" s="39">
        <v>0</v>
      </c>
      <c r="BM50" s="39">
        <v>0</v>
      </c>
      <c r="BN50" s="39">
        <v>0</v>
      </c>
      <c r="BO50" s="39">
        <v>0</v>
      </c>
      <c r="BP50" s="39">
        <v>0</v>
      </c>
      <c r="BQ50" s="39">
        <v>0</v>
      </c>
      <c r="BR50" s="39">
        <v>0</v>
      </c>
      <c r="BS50" s="39">
        <v>0</v>
      </c>
      <c r="BT50" s="39">
        <v>0</v>
      </c>
      <c r="BU50" s="39">
        <v>0</v>
      </c>
      <c r="BV50" s="39">
        <v>0</v>
      </c>
      <c r="BW50" s="39">
        <v>0</v>
      </c>
      <c r="BX50" s="39">
        <v>0</v>
      </c>
      <c r="BY50" s="39">
        <v>0</v>
      </c>
      <c r="BZ50" s="39">
        <v>0</v>
      </c>
      <c r="CA50" s="39">
        <v>0</v>
      </c>
      <c r="CB50" s="39">
        <v>0</v>
      </c>
      <c r="CC50" s="39">
        <v>0</v>
      </c>
      <c r="CD50" s="39">
        <v>0</v>
      </c>
      <c r="CE50" s="39">
        <v>0</v>
      </c>
      <c r="CF50" s="39">
        <v>0</v>
      </c>
      <c r="CG50" s="39">
        <v>1</v>
      </c>
      <c r="CH50" s="39">
        <v>1</v>
      </c>
      <c r="CI50" s="39">
        <v>1</v>
      </c>
      <c r="CJ50" s="39">
        <v>0</v>
      </c>
      <c r="CK50" s="39">
        <v>0</v>
      </c>
      <c r="CL50" s="39">
        <v>0</v>
      </c>
      <c r="CM50" s="56">
        <v>44140</v>
      </c>
      <c r="CN50" s="56">
        <v>44140</v>
      </c>
      <c r="CO50" s="48">
        <v>44308</v>
      </c>
      <c r="CP50" s="43">
        <f t="shared" si="5"/>
        <v>168</v>
      </c>
      <c r="CQ50" s="43" t="e">
        <f t="shared" si="6"/>
        <v>#VALUE!</v>
      </c>
      <c r="CR50" s="39" t="s">
        <v>184</v>
      </c>
      <c r="CS50" s="39" t="s">
        <v>392</v>
      </c>
      <c r="CT50" s="86">
        <v>2</v>
      </c>
      <c r="CU50" s="39">
        <v>1</v>
      </c>
      <c r="CV50" s="39">
        <v>0</v>
      </c>
      <c r="CW50" s="39"/>
      <c r="CX50" s="39">
        <v>0</v>
      </c>
      <c r="CY50" s="39">
        <v>0</v>
      </c>
      <c r="CZ50" s="39">
        <v>0</v>
      </c>
      <c r="DA50" s="39">
        <v>0</v>
      </c>
      <c r="DB50" s="39">
        <v>0</v>
      </c>
      <c r="DC50" s="39">
        <v>0</v>
      </c>
      <c r="DE50" s="37"/>
      <c r="DF50" s="38">
        <v>0</v>
      </c>
      <c r="DG50" s="38">
        <v>0</v>
      </c>
      <c r="DH50" s="38">
        <v>0</v>
      </c>
      <c r="DI50" s="38">
        <v>1</v>
      </c>
      <c r="DJ50" s="38">
        <v>0</v>
      </c>
      <c r="DK50" s="38">
        <v>0</v>
      </c>
      <c r="DL50" s="38">
        <v>0</v>
      </c>
      <c r="DM50" s="38">
        <v>0</v>
      </c>
      <c r="DN50" s="38">
        <v>0</v>
      </c>
      <c r="DO50" s="38">
        <v>1</v>
      </c>
      <c r="DP50" s="38">
        <v>0</v>
      </c>
      <c r="DQ50" s="38">
        <v>0</v>
      </c>
      <c r="DZ50" s="38">
        <v>1</v>
      </c>
      <c r="EA50" s="38">
        <v>1</v>
      </c>
      <c r="EB50" s="65" t="str">
        <f t="shared" si="3"/>
        <v>YES!</v>
      </c>
      <c r="EC50" s="110">
        <v>3459</v>
      </c>
      <c r="ED50" s="112" t="s">
        <v>393</v>
      </c>
      <c r="EE50" s="102">
        <v>-12.75</v>
      </c>
      <c r="EF50" s="100">
        <v>-4.75</v>
      </c>
      <c r="EG50" s="100">
        <v>24.5</v>
      </c>
      <c r="EH50" s="100">
        <v>-12.5</v>
      </c>
      <c r="EI50" s="100">
        <v>53.25</v>
      </c>
      <c r="EJ50" s="100">
        <v>77.5</v>
      </c>
      <c r="EK50" s="100">
        <v>28.75</v>
      </c>
      <c r="EL50" s="100">
        <v>18</v>
      </c>
      <c r="EM50" s="100">
        <v>22.75</v>
      </c>
      <c r="EN50" s="101">
        <v>35</v>
      </c>
      <c r="EO50" s="102">
        <v>7876.5</v>
      </c>
      <c r="EP50" s="100">
        <v>8056</v>
      </c>
      <c r="EQ50" s="100">
        <v>23335.25</v>
      </c>
      <c r="ER50" s="100">
        <v>2830.25</v>
      </c>
      <c r="ES50" s="100">
        <v>108337.5</v>
      </c>
      <c r="ET50" s="100">
        <v>85071.5</v>
      </c>
      <c r="EU50" s="100">
        <v>93826</v>
      </c>
      <c r="EV50" s="100">
        <v>127659.5</v>
      </c>
      <c r="EW50" s="100">
        <v>61743.25</v>
      </c>
      <c r="EX50" s="103">
        <v>103167.5</v>
      </c>
    </row>
    <row r="51" spans="1:154" s="38" customFormat="1" ht="43.2" x14ac:dyDescent="0.3">
      <c r="A51" s="36">
        <v>3460</v>
      </c>
      <c r="B51" s="63"/>
      <c r="C51" s="62" t="s">
        <v>165</v>
      </c>
      <c r="D51" s="40">
        <v>54</v>
      </c>
      <c r="E51" s="40">
        <v>0</v>
      </c>
      <c r="F51" s="40">
        <v>0</v>
      </c>
      <c r="G51" s="40" t="s">
        <v>150</v>
      </c>
      <c r="H51" s="40" t="s">
        <v>151</v>
      </c>
      <c r="I51" s="40">
        <v>1.7</v>
      </c>
      <c r="J51" s="40">
        <v>94.3</v>
      </c>
      <c r="K51" s="38">
        <v>0</v>
      </c>
      <c r="L51" s="38">
        <v>0</v>
      </c>
      <c r="M51" s="38">
        <v>0</v>
      </c>
      <c r="N51" s="38">
        <v>0</v>
      </c>
      <c r="O51" s="38">
        <v>1</v>
      </c>
      <c r="P51" s="38">
        <v>0</v>
      </c>
      <c r="Q51" s="38">
        <v>0</v>
      </c>
      <c r="R51" s="38">
        <v>0</v>
      </c>
      <c r="S51" s="38">
        <v>0</v>
      </c>
      <c r="T51" s="38">
        <v>0</v>
      </c>
      <c r="U51" s="38">
        <v>1</v>
      </c>
      <c r="V51" s="38">
        <v>0</v>
      </c>
      <c r="W51" s="38">
        <v>0</v>
      </c>
      <c r="X51" s="38">
        <v>0</v>
      </c>
      <c r="Y51" s="38">
        <v>0</v>
      </c>
      <c r="Z51" s="38">
        <v>0</v>
      </c>
      <c r="AA51" s="38">
        <v>0</v>
      </c>
      <c r="AB51" s="38">
        <v>0</v>
      </c>
      <c r="AC51" s="75" t="s">
        <v>394</v>
      </c>
      <c r="AD51" s="38">
        <v>0</v>
      </c>
      <c r="AE51" s="38">
        <v>0</v>
      </c>
      <c r="AF51" s="38">
        <v>0</v>
      </c>
      <c r="AG51" s="38">
        <v>0</v>
      </c>
      <c r="AH51" s="38">
        <v>0</v>
      </c>
      <c r="AI51" s="38">
        <v>0</v>
      </c>
      <c r="AJ51" s="37"/>
      <c r="AK51" s="39">
        <v>52850529</v>
      </c>
      <c r="AL51" s="38" t="str">
        <f t="shared" si="1"/>
        <v>NO</v>
      </c>
      <c r="AM51" s="38">
        <v>0</v>
      </c>
      <c r="AN51" s="38">
        <v>0</v>
      </c>
      <c r="AO51" s="39">
        <v>1</v>
      </c>
      <c r="AP51" s="39">
        <v>0</v>
      </c>
      <c r="AQ51" s="39">
        <v>1</v>
      </c>
      <c r="AR51" s="39">
        <v>0</v>
      </c>
      <c r="AS51" s="39">
        <v>1</v>
      </c>
      <c r="AT51" s="39">
        <v>0</v>
      </c>
      <c r="AU51" s="39">
        <v>0</v>
      </c>
      <c r="AV51" s="39">
        <v>0</v>
      </c>
      <c r="AW51" s="39">
        <v>0</v>
      </c>
      <c r="AX51" s="39">
        <v>0</v>
      </c>
      <c r="AY51" s="39">
        <v>0</v>
      </c>
      <c r="AZ51" s="39">
        <v>0</v>
      </c>
      <c r="BA51" s="39">
        <v>1</v>
      </c>
      <c r="BB51" s="39">
        <v>1</v>
      </c>
      <c r="BC51" s="39">
        <v>1</v>
      </c>
      <c r="BD51" s="39">
        <v>0</v>
      </c>
      <c r="BE51" s="39">
        <v>1</v>
      </c>
      <c r="BF51" s="39">
        <v>0</v>
      </c>
      <c r="BG51" s="39">
        <v>0</v>
      </c>
      <c r="BH51" s="39">
        <v>0</v>
      </c>
      <c r="BI51" s="39">
        <v>0</v>
      </c>
      <c r="BJ51" s="39">
        <v>0</v>
      </c>
      <c r="BK51" s="39">
        <v>0</v>
      </c>
      <c r="BL51" s="39">
        <v>0</v>
      </c>
      <c r="BM51" s="39">
        <v>0</v>
      </c>
      <c r="BN51" s="39">
        <v>0</v>
      </c>
      <c r="BO51" s="39">
        <v>0</v>
      </c>
      <c r="BP51" s="39">
        <v>0</v>
      </c>
      <c r="BQ51" s="39">
        <v>0</v>
      </c>
      <c r="BR51" s="39">
        <v>0</v>
      </c>
      <c r="BS51" s="39">
        <v>0</v>
      </c>
      <c r="BT51" s="39">
        <v>0</v>
      </c>
      <c r="BU51" s="39">
        <v>0</v>
      </c>
      <c r="BV51" s="39">
        <v>0</v>
      </c>
      <c r="BW51" s="39">
        <v>0</v>
      </c>
      <c r="BX51" s="39">
        <v>0</v>
      </c>
      <c r="BY51" s="39">
        <v>0</v>
      </c>
      <c r="BZ51" s="39">
        <v>0</v>
      </c>
      <c r="CA51" s="39">
        <v>0</v>
      </c>
      <c r="CB51" s="39">
        <v>0</v>
      </c>
      <c r="CC51" s="39">
        <v>0</v>
      </c>
      <c r="CD51" s="39">
        <v>0</v>
      </c>
      <c r="CE51" s="39">
        <v>0</v>
      </c>
      <c r="CF51" s="39">
        <v>0</v>
      </c>
      <c r="CG51" s="39">
        <v>0</v>
      </c>
      <c r="CH51" s="39">
        <v>0</v>
      </c>
      <c r="CI51" s="39">
        <v>0</v>
      </c>
      <c r="CJ51" s="39">
        <v>0</v>
      </c>
      <c r="CK51" s="39">
        <v>0</v>
      </c>
      <c r="CL51" s="39">
        <v>0</v>
      </c>
      <c r="CM51" s="56">
        <v>44219</v>
      </c>
      <c r="CN51" s="56">
        <v>44219</v>
      </c>
      <c r="CO51" s="48">
        <v>44309</v>
      </c>
      <c r="CP51" s="43">
        <f t="shared" si="5"/>
        <v>90</v>
      </c>
      <c r="CQ51" s="43" t="e">
        <f t="shared" si="6"/>
        <v>#VALUE!</v>
      </c>
      <c r="CR51" s="39" t="s">
        <v>184</v>
      </c>
      <c r="CS51" s="39" t="s">
        <v>395</v>
      </c>
      <c r="CT51" s="86">
        <v>1</v>
      </c>
      <c r="CU51" s="39">
        <v>0</v>
      </c>
      <c r="CV51" s="39">
        <v>0</v>
      </c>
      <c r="CW51" s="39"/>
      <c r="CX51" s="39">
        <v>0</v>
      </c>
      <c r="CY51" s="39">
        <v>0</v>
      </c>
      <c r="CZ51" s="39">
        <v>0</v>
      </c>
      <c r="DA51" s="39">
        <v>0</v>
      </c>
      <c r="DB51" s="39">
        <v>0</v>
      </c>
      <c r="DC51" s="39">
        <v>0</v>
      </c>
      <c r="DD51" s="38">
        <v>0</v>
      </c>
      <c r="DE51" s="37" t="s">
        <v>396</v>
      </c>
      <c r="DF51" s="38">
        <v>0</v>
      </c>
      <c r="DG51" s="38">
        <v>0</v>
      </c>
      <c r="DH51" s="38">
        <v>0</v>
      </c>
      <c r="DI51" s="38">
        <v>0</v>
      </c>
      <c r="DJ51" s="38">
        <v>0</v>
      </c>
      <c r="DK51" s="38">
        <v>0</v>
      </c>
      <c r="DL51" s="38">
        <v>0</v>
      </c>
      <c r="DM51" s="38">
        <v>0</v>
      </c>
      <c r="DN51" s="38">
        <v>0</v>
      </c>
      <c r="DO51" s="38">
        <v>0</v>
      </c>
      <c r="DP51" s="38">
        <v>0</v>
      </c>
      <c r="DQ51" s="38">
        <v>1</v>
      </c>
      <c r="DZ51" s="38">
        <v>1</v>
      </c>
      <c r="EA51" s="38">
        <v>1</v>
      </c>
      <c r="EB51" s="65" t="str">
        <f t="shared" si="3"/>
        <v>YES!</v>
      </c>
      <c r="EC51" s="110">
        <v>3460</v>
      </c>
      <c r="ED51" s="112" t="s">
        <v>397</v>
      </c>
      <c r="EE51" s="102">
        <v>92.5</v>
      </c>
      <c r="EF51" s="100">
        <v>22.75</v>
      </c>
      <c r="EG51" s="100">
        <v>64</v>
      </c>
      <c r="EH51" s="100">
        <v>11.75</v>
      </c>
      <c r="EI51" s="100">
        <v>95.5</v>
      </c>
      <c r="EJ51" s="100">
        <v>179.25</v>
      </c>
      <c r="EK51" s="100">
        <v>910.5</v>
      </c>
      <c r="EL51" s="100">
        <v>150.75</v>
      </c>
      <c r="EM51" s="100">
        <v>314</v>
      </c>
      <c r="EN51" s="101">
        <v>107.5</v>
      </c>
      <c r="EO51" s="102">
        <v>70391.25</v>
      </c>
      <c r="EP51" s="100">
        <v>25811</v>
      </c>
      <c r="EQ51" s="100">
        <v>40673.75</v>
      </c>
      <c r="ER51" s="100">
        <v>13387.5</v>
      </c>
      <c r="ES51" s="100">
        <v>46716</v>
      </c>
      <c r="ET51" s="100">
        <v>28620.5</v>
      </c>
      <c r="EU51" s="100">
        <v>136487</v>
      </c>
      <c r="EV51" s="100">
        <v>55973.5</v>
      </c>
      <c r="EW51" s="100">
        <v>94283.5</v>
      </c>
      <c r="EX51" s="103">
        <v>46972.25</v>
      </c>
    </row>
    <row r="52" spans="1:154" s="38" customFormat="1" ht="43.2" x14ac:dyDescent="0.3">
      <c r="A52" s="36">
        <v>3471</v>
      </c>
      <c r="B52" s="63"/>
      <c r="C52" s="62" t="s">
        <v>165</v>
      </c>
      <c r="D52" s="40">
        <v>69</v>
      </c>
      <c r="E52" s="40">
        <v>0</v>
      </c>
      <c r="F52" s="40">
        <v>0</v>
      </c>
      <c r="G52" s="40" t="s">
        <v>150</v>
      </c>
      <c r="H52" s="40" t="s">
        <v>151</v>
      </c>
      <c r="I52" s="40">
        <v>1.8</v>
      </c>
      <c r="J52" s="40">
        <v>90.7</v>
      </c>
      <c r="K52" s="38">
        <v>1</v>
      </c>
      <c r="L52" s="38">
        <v>0</v>
      </c>
      <c r="M52" s="38">
        <v>0</v>
      </c>
      <c r="N52" s="38">
        <v>0</v>
      </c>
      <c r="O52" s="38">
        <v>0</v>
      </c>
      <c r="P52" s="38">
        <v>0</v>
      </c>
      <c r="Q52" s="38">
        <v>0</v>
      </c>
      <c r="R52" s="38">
        <v>0</v>
      </c>
      <c r="S52" s="38">
        <v>0</v>
      </c>
      <c r="T52" s="38">
        <v>0</v>
      </c>
      <c r="U52" s="38">
        <v>1</v>
      </c>
      <c r="V52" s="38">
        <v>0</v>
      </c>
      <c r="W52" s="38">
        <v>0</v>
      </c>
      <c r="X52" s="38">
        <v>0</v>
      </c>
      <c r="Y52" s="38">
        <v>0</v>
      </c>
      <c r="Z52" s="38">
        <v>0</v>
      </c>
      <c r="AA52" s="38">
        <v>0</v>
      </c>
      <c r="AB52" s="38">
        <v>0</v>
      </c>
      <c r="AC52" s="75"/>
      <c r="AD52" s="38">
        <v>0</v>
      </c>
      <c r="AE52" s="38">
        <v>0</v>
      </c>
      <c r="AF52" s="38">
        <v>0</v>
      </c>
      <c r="AG52" s="38">
        <v>0</v>
      </c>
      <c r="AH52" s="38">
        <v>0</v>
      </c>
      <c r="AI52" s="38">
        <v>0</v>
      </c>
      <c r="AJ52" s="37" t="s">
        <v>398</v>
      </c>
      <c r="AK52" s="39">
        <v>35088620</v>
      </c>
      <c r="AL52" s="38" t="str">
        <f t="shared" si="1"/>
        <v>NO</v>
      </c>
      <c r="AM52" s="38">
        <v>0</v>
      </c>
      <c r="AN52" s="38">
        <v>0</v>
      </c>
      <c r="AO52" s="39">
        <v>1</v>
      </c>
      <c r="AP52" s="39">
        <v>0</v>
      </c>
      <c r="AQ52" s="39">
        <v>0</v>
      </c>
      <c r="AR52" s="39">
        <v>0</v>
      </c>
      <c r="AS52" s="39">
        <v>1</v>
      </c>
      <c r="AT52" s="39">
        <v>0</v>
      </c>
      <c r="AU52" s="39">
        <v>0</v>
      </c>
      <c r="AV52" s="39">
        <v>0</v>
      </c>
      <c r="AW52" s="39">
        <v>0</v>
      </c>
      <c r="AX52" s="39">
        <v>0</v>
      </c>
      <c r="AY52" s="39">
        <v>0</v>
      </c>
      <c r="AZ52" s="39">
        <v>0</v>
      </c>
      <c r="BA52" s="39">
        <v>0</v>
      </c>
      <c r="BB52" s="39">
        <v>1</v>
      </c>
      <c r="BC52" s="39">
        <v>1</v>
      </c>
      <c r="BD52" s="39">
        <v>0</v>
      </c>
      <c r="BE52" s="39">
        <v>0</v>
      </c>
      <c r="BF52" s="39">
        <v>0</v>
      </c>
      <c r="BG52" s="39">
        <v>0</v>
      </c>
      <c r="BH52" s="39">
        <v>0</v>
      </c>
      <c r="BI52" s="39">
        <v>0</v>
      </c>
      <c r="BJ52" s="39">
        <v>0</v>
      </c>
      <c r="BK52" s="39">
        <v>0</v>
      </c>
      <c r="BL52" s="39">
        <v>0</v>
      </c>
      <c r="BM52" s="39">
        <v>0</v>
      </c>
      <c r="BN52" s="39">
        <v>0</v>
      </c>
      <c r="BO52" s="39">
        <v>0</v>
      </c>
      <c r="BP52" s="39">
        <v>0</v>
      </c>
      <c r="BQ52" s="39">
        <v>0</v>
      </c>
      <c r="BR52" s="39">
        <v>0</v>
      </c>
      <c r="BS52" s="39">
        <v>0</v>
      </c>
      <c r="BT52" s="39">
        <v>0</v>
      </c>
      <c r="BU52" s="39">
        <v>0</v>
      </c>
      <c r="BV52" s="39">
        <v>0</v>
      </c>
      <c r="BW52" s="39">
        <v>0</v>
      </c>
      <c r="BX52" s="39">
        <v>0</v>
      </c>
      <c r="BY52" s="39">
        <v>0</v>
      </c>
      <c r="BZ52" s="39">
        <v>0</v>
      </c>
      <c r="CA52" s="39">
        <v>0</v>
      </c>
      <c r="CB52" s="39">
        <v>0</v>
      </c>
      <c r="CC52" s="39">
        <v>0</v>
      </c>
      <c r="CD52" s="39">
        <v>0</v>
      </c>
      <c r="CE52" s="39">
        <v>0</v>
      </c>
      <c r="CF52" s="39">
        <v>0</v>
      </c>
      <c r="CG52" s="39">
        <v>0</v>
      </c>
      <c r="CH52" s="39">
        <v>0</v>
      </c>
      <c r="CI52" s="39">
        <v>0</v>
      </c>
      <c r="CJ52" s="39">
        <v>0</v>
      </c>
      <c r="CK52" s="39">
        <v>0</v>
      </c>
      <c r="CL52" s="39">
        <v>0</v>
      </c>
      <c r="CM52" s="56">
        <v>44237</v>
      </c>
      <c r="CN52" s="56">
        <v>44237</v>
      </c>
      <c r="CO52" s="48">
        <v>44314</v>
      </c>
      <c r="CP52" s="43">
        <f t="shared" si="5"/>
        <v>77</v>
      </c>
      <c r="CQ52" s="43" t="e">
        <f t="shared" si="6"/>
        <v>#VALUE!</v>
      </c>
      <c r="CR52" s="39" t="s">
        <v>184</v>
      </c>
      <c r="CS52" s="39" t="s">
        <v>399</v>
      </c>
      <c r="CT52" s="86">
        <v>2</v>
      </c>
      <c r="CU52" s="39">
        <v>0</v>
      </c>
      <c r="CV52" s="39">
        <v>0</v>
      </c>
      <c r="CW52" s="39"/>
      <c r="CX52" s="39">
        <v>0</v>
      </c>
      <c r="CY52" s="39">
        <v>0</v>
      </c>
      <c r="CZ52" s="39">
        <v>0</v>
      </c>
      <c r="DA52" s="39">
        <v>0</v>
      </c>
      <c r="DB52" s="39">
        <v>0</v>
      </c>
      <c r="DC52" s="39">
        <v>0</v>
      </c>
      <c r="DD52" s="38">
        <v>1</v>
      </c>
      <c r="DE52" s="37" t="s">
        <v>400</v>
      </c>
      <c r="DF52" s="38">
        <v>1</v>
      </c>
      <c r="DG52" s="38">
        <v>0</v>
      </c>
      <c r="DH52" s="38">
        <v>0</v>
      </c>
      <c r="DI52" s="38">
        <v>0</v>
      </c>
      <c r="DJ52" s="38">
        <v>0</v>
      </c>
      <c r="DK52" s="38">
        <v>0</v>
      </c>
      <c r="DL52" s="38">
        <v>0</v>
      </c>
      <c r="DM52" s="38">
        <v>0</v>
      </c>
      <c r="DN52" s="38">
        <v>0</v>
      </c>
      <c r="DO52" s="38">
        <v>0</v>
      </c>
      <c r="DP52" s="38">
        <v>0</v>
      </c>
      <c r="DQ52" s="38">
        <v>0</v>
      </c>
      <c r="DZ52" s="38">
        <v>1</v>
      </c>
      <c r="EA52" s="38">
        <v>1</v>
      </c>
      <c r="EB52" s="65" t="str">
        <f t="shared" si="3"/>
        <v>YES!</v>
      </c>
      <c r="EC52" s="110">
        <v>3471</v>
      </c>
      <c r="ED52" s="112" t="s">
        <v>401</v>
      </c>
      <c r="EE52" s="102">
        <v>79</v>
      </c>
      <c r="EF52" s="100">
        <v>61.5</v>
      </c>
      <c r="EG52" s="100">
        <v>148</v>
      </c>
      <c r="EH52" s="100">
        <v>97.25</v>
      </c>
      <c r="EI52" s="100">
        <v>-8.75</v>
      </c>
      <c r="EJ52" s="100">
        <v>0.5</v>
      </c>
      <c r="EK52" s="100">
        <v>163</v>
      </c>
      <c r="EL52" s="100">
        <v>-34.5</v>
      </c>
      <c r="EM52" s="100">
        <v>13</v>
      </c>
      <c r="EN52" s="101">
        <v>40</v>
      </c>
      <c r="EO52" s="102">
        <v>87968.5</v>
      </c>
      <c r="EP52" s="100">
        <v>56701</v>
      </c>
      <c r="EQ52" s="100">
        <v>58296.5</v>
      </c>
      <c r="ER52" s="100">
        <v>85466.5</v>
      </c>
      <c r="ES52" s="100">
        <v>95</v>
      </c>
      <c r="ET52" s="100">
        <v>883.75</v>
      </c>
      <c r="EU52" s="100">
        <v>120276.25</v>
      </c>
      <c r="EV52" s="100">
        <v>7171</v>
      </c>
      <c r="EW52" s="100">
        <v>10126.25</v>
      </c>
      <c r="EX52" s="103">
        <v>47765.75</v>
      </c>
    </row>
    <row r="53" spans="1:154" s="38" customFormat="1" ht="43.2" x14ac:dyDescent="0.3">
      <c r="A53" s="90">
        <v>3474</v>
      </c>
      <c r="B53" s="63"/>
      <c r="C53" s="62" t="s">
        <v>149</v>
      </c>
      <c r="D53" s="40">
        <v>37</v>
      </c>
      <c r="E53" s="40">
        <v>0</v>
      </c>
      <c r="F53" s="40">
        <v>0</v>
      </c>
      <c r="G53" s="40" t="s">
        <v>150</v>
      </c>
      <c r="H53" s="40" t="s">
        <v>151</v>
      </c>
      <c r="I53" s="40"/>
      <c r="J53" s="40">
        <v>218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38">
        <v>0</v>
      </c>
      <c r="Q53" s="38">
        <v>0</v>
      </c>
      <c r="R53" s="38">
        <v>0</v>
      </c>
      <c r="S53" s="38">
        <v>0</v>
      </c>
      <c r="T53" s="38">
        <v>0</v>
      </c>
      <c r="U53" s="38">
        <v>1</v>
      </c>
      <c r="V53" s="38">
        <v>0</v>
      </c>
      <c r="W53" s="38">
        <v>0</v>
      </c>
      <c r="X53" s="38">
        <v>0</v>
      </c>
      <c r="Y53" s="38">
        <v>0</v>
      </c>
      <c r="Z53" s="38">
        <v>0</v>
      </c>
      <c r="AA53" s="38">
        <v>0</v>
      </c>
      <c r="AB53" s="38">
        <v>0</v>
      </c>
      <c r="AC53" s="75" t="s">
        <v>402</v>
      </c>
      <c r="AD53" s="38">
        <v>0</v>
      </c>
      <c r="AE53" s="38">
        <v>0</v>
      </c>
      <c r="AF53" s="38">
        <v>0</v>
      </c>
      <c r="AG53" s="38">
        <v>0</v>
      </c>
      <c r="AH53" s="38">
        <v>0</v>
      </c>
      <c r="AI53" s="38">
        <v>0</v>
      </c>
      <c r="AJ53" s="37" t="s">
        <v>403</v>
      </c>
      <c r="AK53" s="39">
        <v>100013994</v>
      </c>
      <c r="AL53" s="38" t="str">
        <f t="shared" si="1"/>
        <v>NO</v>
      </c>
      <c r="AM53" s="38">
        <v>0</v>
      </c>
      <c r="AN53" s="38">
        <v>0</v>
      </c>
      <c r="AO53" s="39">
        <v>1</v>
      </c>
      <c r="AP53" s="39">
        <v>0</v>
      </c>
      <c r="AQ53" s="39">
        <v>0</v>
      </c>
      <c r="AR53" s="39">
        <v>0</v>
      </c>
      <c r="AS53" s="39">
        <v>0</v>
      </c>
      <c r="AT53" s="39">
        <v>0</v>
      </c>
      <c r="AU53" s="39">
        <v>0</v>
      </c>
      <c r="AV53" s="39">
        <v>0</v>
      </c>
      <c r="AW53" s="39">
        <v>0</v>
      </c>
      <c r="AX53" s="39">
        <v>1</v>
      </c>
      <c r="AY53" s="39">
        <v>0</v>
      </c>
      <c r="AZ53" s="39">
        <v>0</v>
      </c>
      <c r="BA53" s="39">
        <v>0</v>
      </c>
      <c r="BB53" s="39">
        <v>1</v>
      </c>
      <c r="BC53" s="39">
        <v>0</v>
      </c>
      <c r="BD53" s="39">
        <v>0</v>
      </c>
      <c r="BE53" s="39">
        <v>0</v>
      </c>
      <c r="BF53" s="39">
        <v>0</v>
      </c>
      <c r="BG53" s="39">
        <v>0</v>
      </c>
      <c r="BH53" s="39">
        <v>0</v>
      </c>
      <c r="BI53" s="39">
        <v>0</v>
      </c>
      <c r="BJ53" s="39">
        <v>0</v>
      </c>
      <c r="BK53" s="39">
        <v>0</v>
      </c>
      <c r="BL53" s="39">
        <v>0</v>
      </c>
      <c r="BM53" s="39">
        <v>0</v>
      </c>
      <c r="BN53" s="39">
        <v>0</v>
      </c>
      <c r="BO53" s="39">
        <v>0</v>
      </c>
      <c r="BP53" s="39">
        <v>0</v>
      </c>
      <c r="BQ53" s="39">
        <v>0</v>
      </c>
      <c r="BR53" s="39">
        <v>0</v>
      </c>
      <c r="BS53" s="39">
        <v>0</v>
      </c>
      <c r="BT53" s="39">
        <v>0</v>
      </c>
      <c r="BU53" s="39">
        <v>0</v>
      </c>
      <c r="BV53" s="39">
        <v>0</v>
      </c>
      <c r="BW53" s="39">
        <v>0</v>
      </c>
      <c r="BX53" s="39">
        <v>1</v>
      </c>
      <c r="BY53" s="39">
        <v>0</v>
      </c>
      <c r="BZ53" s="39">
        <v>0</v>
      </c>
      <c r="CA53" s="39">
        <v>0</v>
      </c>
      <c r="CB53" s="39">
        <v>1</v>
      </c>
      <c r="CC53" s="39">
        <v>0</v>
      </c>
      <c r="CD53" s="39">
        <v>0</v>
      </c>
      <c r="CE53" s="39">
        <v>0</v>
      </c>
      <c r="CF53" s="39">
        <v>0</v>
      </c>
      <c r="CG53" s="39">
        <v>0</v>
      </c>
      <c r="CH53" s="39">
        <v>0</v>
      </c>
      <c r="CI53" s="39">
        <v>0</v>
      </c>
      <c r="CJ53" s="39">
        <v>0</v>
      </c>
      <c r="CK53" s="39">
        <v>0</v>
      </c>
      <c r="CL53" s="39">
        <v>0</v>
      </c>
      <c r="CM53" s="56">
        <v>44167</v>
      </c>
      <c r="CN53" s="56">
        <v>44167</v>
      </c>
      <c r="CO53" s="48">
        <v>44315</v>
      </c>
      <c r="CP53" s="43">
        <f t="shared" si="5"/>
        <v>148</v>
      </c>
      <c r="CQ53" s="43" t="e">
        <f t="shared" si="6"/>
        <v>#VALUE!</v>
      </c>
      <c r="CR53" s="39" t="s">
        <v>184</v>
      </c>
      <c r="CS53" s="44">
        <v>44687</v>
      </c>
      <c r="CT53" s="86">
        <v>1</v>
      </c>
      <c r="CU53" s="39">
        <v>0</v>
      </c>
      <c r="CV53" s="39">
        <v>0</v>
      </c>
      <c r="CW53" s="39"/>
      <c r="CX53" s="39">
        <v>0</v>
      </c>
      <c r="CY53" s="39">
        <v>0</v>
      </c>
      <c r="CZ53" s="39">
        <v>0</v>
      </c>
      <c r="DA53" s="39">
        <v>0</v>
      </c>
      <c r="DB53" s="39">
        <v>0</v>
      </c>
      <c r="DC53" s="39">
        <v>0</v>
      </c>
      <c r="DE53" s="37"/>
      <c r="DF53" s="38">
        <v>0</v>
      </c>
      <c r="DG53" s="38">
        <v>0</v>
      </c>
      <c r="DH53" s="38">
        <v>0</v>
      </c>
      <c r="DI53" s="38">
        <v>0</v>
      </c>
      <c r="DJ53" s="38">
        <v>0</v>
      </c>
      <c r="DK53" s="38">
        <v>0</v>
      </c>
      <c r="DL53" s="38">
        <v>0</v>
      </c>
      <c r="DM53" s="38">
        <v>0</v>
      </c>
      <c r="DN53" s="38">
        <v>0</v>
      </c>
      <c r="DO53" s="38">
        <v>1</v>
      </c>
      <c r="DP53" s="38">
        <v>0</v>
      </c>
      <c r="DQ53" s="38">
        <v>0</v>
      </c>
      <c r="DZ53" s="38">
        <v>1</v>
      </c>
      <c r="EA53" s="38">
        <v>1</v>
      </c>
      <c r="EB53" s="65" t="str">
        <f t="shared" si="3"/>
        <v>YES!</v>
      </c>
      <c r="EC53" s="110">
        <v>3474</v>
      </c>
      <c r="ED53" s="112" t="s">
        <v>404</v>
      </c>
      <c r="EE53" s="102">
        <v>206.25</v>
      </c>
      <c r="EF53" s="100">
        <v>133.75</v>
      </c>
      <c r="EG53" s="100">
        <v>630</v>
      </c>
      <c r="EH53" s="100">
        <v>98.5</v>
      </c>
      <c r="EI53" s="100">
        <v>24</v>
      </c>
      <c r="EJ53" s="100">
        <v>46.75</v>
      </c>
      <c r="EK53" s="100">
        <v>1159.75</v>
      </c>
      <c r="EL53" s="100">
        <v>26.25</v>
      </c>
      <c r="EM53" s="100">
        <v>41.5</v>
      </c>
      <c r="EN53" s="101">
        <v>203.25</v>
      </c>
      <c r="EO53" s="102">
        <v>82298.25</v>
      </c>
      <c r="EP53" s="100">
        <v>60154</v>
      </c>
      <c r="EQ53" s="100">
        <v>180910.25</v>
      </c>
      <c r="ER53" s="100">
        <v>68814</v>
      </c>
      <c r="ES53" s="100">
        <v>16576.25</v>
      </c>
      <c r="ET53" s="100">
        <v>13246.25</v>
      </c>
      <c r="EU53" s="100">
        <v>161775.25</v>
      </c>
      <c r="EV53" s="100">
        <v>21034.75</v>
      </c>
      <c r="EW53" s="100">
        <v>24299</v>
      </c>
      <c r="EX53" s="103">
        <v>105486.75</v>
      </c>
    </row>
    <row r="54" spans="1:154" s="38" customFormat="1" ht="55.2" x14ac:dyDescent="0.3">
      <c r="A54" s="36">
        <v>3475</v>
      </c>
      <c r="B54" s="40"/>
      <c r="C54" s="62" t="s">
        <v>165</v>
      </c>
      <c r="D54" s="40">
        <v>42</v>
      </c>
      <c r="E54" s="40">
        <v>0</v>
      </c>
      <c r="F54" s="40">
        <v>0</v>
      </c>
      <c r="G54" s="40" t="s">
        <v>150</v>
      </c>
      <c r="H54" s="40" t="s">
        <v>180</v>
      </c>
      <c r="I54" s="40">
        <v>1.8</v>
      </c>
      <c r="J54" s="40">
        <v>113</v>
      </c>
      <c r="K54" s="38">
        <v>0</v>
      </c>
      <c r="L54" s="38">
        <v>0</v>
      </c>
      <c r="M54" s="38">
        <v>0</v>
      </c>
      <c r="N54" s="38">
        <v>0</v>
      </c>
      <c r="O54" s="38">
        <v>0</v>
      </c>
      <c r="P54" s="38">
        <v>0</v>
      </c>
      <c r="Q54" s="38">
        <v>0</v>
      </c>
      <c r="R54" s="38">
        <v>0</v>
      </c>
      <c r="S54" s="38">
        <v>0</v>
      </c>
      <c r="T54" s="38">
        <v>0</v>
      </c>
      <c r="U54" s="38">
        <v>1</v>
      </c>
      <c r="V54" s="38">
        <v>0</v>
      </c>
      <c r="W54" s="38">
        <v>0</v>
      </c>
      <c r="X54" s="38">
        <v>0</v>
      </c>
      <c r="Y54" s="38">
        <v>0</v>
      </c>
      <c r="Z54" s="38">
        <v>0</v>
      </c>
      <c r="AA54" s="38">
        <v>0</v>
      </c>
      <c r="AB54" s="38">
        <v>0</v>
      </c>
      <c r="AC54" s="75" t="s">
        <v>294</v>
      </c>
      <c r="AD54" s="38">
        <v>0</v>
      </c>
      <c r="AE54" s="38">
        <v>0</v>
      </c>
      <c r="AF54" s="38">
        <v>0</v>
      </c>
      <c r="AG54" s="38">
        <v>0</v>
      </c>
      <c r="AH54" s="38">
        <v>0</v>
      </c>
      <c r="AI54" s="38">
        <v>0</v>
      </c>
      <c r="AJ54" s="37" t="s">
        <v>405</v>
      </c>
      <c r="AK54" s="37">
        <v>51726425</v>
      </c>
      <c r="AL54" s="38" t="str">
        <f t="shared" si="1"/>
        <v>NO</v>
      </c>
      <c r="AM54" s="38">
        <v>0</v>
      </c>
      <c r="AN54" s="38">
        <v>0</v>
      </c>
      <c r="AO54" s="39">
        <v>0</v>
      </c>
      <c r="AP54" s="39">
        <v>0</v>
      </c>
      <c r="AQ54" s="39">
        <v>1</v>
      </c>
      <c r="AR54" s="39">
        <v>0</v>
      </c>
      <c r="AS54" s="39">
        <v>1</v>
      </c>
      <c r="AT54" s="39">
        <v>0</v>
      </c>
      <c r="AU54" s="39">
        <v>0</v>
      </c>
      <c r="AV54" s="39">
        <v>1</v>
      </c>
      <c r="AW54" s="39">
        <v>0</v>
      </c>
      <c r="AX54" s="39">
        <v>0</v>
      </c>
      <c r="AY54" s="39">
        <v>0</v>
      </c>
      <c r="AZ54" s="39">
        <v>1</v>
      </c>
      <c r="BA54" s="39">
        <v>0</v>
      </c>
      <c r="BB54" s="39">
        <v>0</v>
      </c>
      <c r="BC54" s="39">
        <v>0</v>
      </c>
      <c r="BD54" s="39">
        <v>0</v>
      </c>
      <c r="BE54" s="39">
        <v>0</v>
      </c>
      <c r="BF54" s="39">
        <v>0</v>
      </c>
      <c r="BG54" s="39">
        <v>0</v>
      </c>
      <c r="BH54" s="39">
        <v>0</v>
      </c>
      <c r="BI54" s="39">
        <v>0</v>
      </c>
      <c r="BJ54" s="39">
        <v>0</v>
      </c>
      <c r="BK54" s="39">
        <v>0</v>
      </c>
      <c r="BL54" s="39">
        <v>0</v>
      </c>
      <c r="BM54" s="39">
        <v>0</v>
      </c>
      <c r="BN54" s="39">
        <v>0</v>
      </c>
      <c r="BO54" s="39">
        <v>1</v>
      </c>
      <c r="BP54" s="39">
        <v>0</v>
      </c>
      <c r="BQ54" s="39">
        <v>0</v>
      </c>
      <c r="BR54" s="39">
        <v>0</v>
      </c>
      <c r="BS54" s="39">
        <v>0</v>
      </c>
      <c r="BT54" s="39">
        <v>0</v>
      </c>
      <c r="BU54" s="39">
        <v>0</v>
      </c>
      <c r="BV54" s="39">
        <v>0</v>
      </c>
      <c r="BW54" s="39">
        <v>0</v>
      </c>
      <c r="BX54" s="39">
        <v>0</v>
      </c>
      <c r="BY54" s="39">
        <v>0</v>
      </c>
      <c r="BZ54" s="39">
        <v>0</v>
      </c>
      <c r="CA54" s="39">
        <v>0</v>
      </c>
      <c r="CB54" s="39">
        <v>0</v>
      </c>
      <c r="CC54" s="39">
        <v>0</v>
      </c>
      <c r="CD54" s="39">
        <v>1</v>
      </c>
      <c r="CE54" s="39">
        <v>1</v>
      </c>
      <c r="CF54" s="39">
        <v>0</v>
      </c>
      <c r="CG54" s="39">
        <v>0</v>
      </c>
      <c r="CH54" s="39">
        <v>1</v>
      </c>
      <c r="CI54" s="39">
        <v>0</v>
      </c>
      <c r="CJ54" s="39">
        <v>0</v>
      </c>
      <c r="CK54" s="39">
        <v>0</v>
      </c>
      <c r="CL54" s="39">
        <v>0</v>
      </c>
      <c r="CM54" s="56" t="s">
        <v>406</v>
      </c>
      <c r="CN54" s="56">
        <v>44182</v>
      </c>
      <c r="CO54" s="48">
        <v>44316</v>
      </c>
      <c r="CP54" s="43">
        <f t="shared" si="5"/>
        <v>134</v>
      </c>
      <c r="CQ54" s="43" t="e">
        <f t="shared" si="6"/>
        <v>#VALUE!</v>
      </c>
      <c r="CR54" s="39" t="s">
        <v>184</v>
      </c>
      <c r="CS54" s="39" t="s">
        <v>407</v>
      </c>
      <c r="CT54" s="86">
        <v>2</v>
      </c>
      <c r="CU54" s="39">
        <v>0</v>
      </c>
      <c r="CV54" s="39">
        <v>1</v>
      </c>
      <c r="CW54" s="39" t="s">
        <v>408</v>
      </c>
      <c r="CX54" s="39">
        <v>0</v>
      </c>
      <c r="CY54" s="39">
        <v>0</v>
      </c>
      <c r="CZ54" s="39">
        <v>0</v>
      </c>
      <c r="DA54" s="39">
        <v>0</v>
      </c>
      <c r="DB54" s="39">
        <v>0</v>
      </c>
      <c r="DC54" s="39">
        <v>0</v>
      </c>
      <c r="DD54" s="38">
        <v>0</v>
      </c>
      <c r="DE54" s="37"/>
      <c r="DF54" s="38">
        <v>1</v>
      </c>
      <c r="DG54" s="38">
        <v>0</v>
      </c>
      <c r="DH54" s="38">
        <v>0</v>
      </c>
      <c r="DI54" s="38">
        <v>1</v>
      </c>
      <c r="DJ54" s="38">
        <v>1</v>
      </c>
      <c r="DK54" s="38">
        <v>0</v>
      </c>
      <c r="DL54" s="38">
        <v>0</v>
      </c>
      <c r="DM54" s="38">
        <v>0</v>
      </c>
      <c r="DN54" s="38">
        <v>0</v>
      </c>
      <c r="DO54" s="38">
        <v>0</v>
      </c>
      <c r="DP54" s="38">
        <v>0</v>
      </c>
      <c r="DQ54" s="38">
        <v>0</v>
      </c>
      <c r="DZ54" s="38">
        <v>1</v>
      </c>
      <c r="EA54" s="38">
        <v>1</v>
      </c>
      <c r="EB54" s="65" t="str">
        <f t="shared" si="3"/>
        <v>YES!</v>
      </c>
      <c r="EC54" s="110">
        <v>3475</v>
      </c>
      <c r="ED54" s="112" t="s">
        <v>409</v>
      </c>
      <c r="EE54" s="102">
        <v>101</v>
      </c>
      <c r="EF54" s="100">
        <v>62.5</v>
      </c>
      <c r="EG54" s="100">
        <v>47.75</v>
      </c>
      <c r="EH54" s="100">
        <v>9.5</v>
      </c>
      <c r="EI54" s="100">
        <v>33.5</v>
      </c>
      <c r="EJ54" s="100">
        <v>126.75</v>
      </c>
      <c r="EK54" s="100">
        <v>30.5</v>
      </c>
      <c r="EL54" s="100">
        <v>20.5</v>
      </c>
      <c r="EM54" s="100">
        <v>34</v>
      </c>
      <c r="EN54" s="101">
        <v>51.75</v>
      </c>
      <c r="EO54" s="102">
        <v>41740.75</v>
      </c>
      <c r="EP54" s="100">
        <v>18502.25</v>
      </c>
      <c r="EQ54" s="100">
        <v>70044.5</v>
      </c>
      <c r="ER54" s="100">
        <v>13146.75</v>
      </c>
      <c r="ES54" s="100">
        <v>65614</v>
      </c>
      <c r="ET54" s="100">
        <v>47762.75</v>
      </c>
      <c r="EU54" s="100">
        <v>83818.25</v>
      </c>
      <c r="EV54" s="100">
        <v>72836</v>
      </c>
      <c r="EW54" s="100">
        <v>28165.75</v>
      </c>
      <c r="EX54" s="103">
        <v>72419.25</v>
      </c>
    </row>
    <row r="55" spans="1:154" s="38" customFormat="1" ht="43.2" x14ac:dyDescent="0.3">
      <c r="A55" s="90">
        <v>3503</v>
      </c>
      <c r="B55" s="63"/>
      <c r="C55" s="62" t="s">
        <v>165</v>
      </c>
      <c r="D55" s="40">
        <v>32</v>
      </c>
      <c r="E55" s="40">
        <v>1</v>
      </c>
      <c r="F55" s="40" t="s">
        <v>410</v>
      </c>
      <c r="G55" s="40" t="s">
        <v>151</v>
      </c>
      <c r="H55" s="40" t="s">
        <v>151</v>
      </c>
      <c r="I55" s="40"/>
      <c r="J55" s="40">
        <v>84.8</v>
      </c>
      <c r="K55" s="38">
        <v>1</v>
      </c>
      <c r="L55" s="38">
        <v>0</v>
      </c>
      <c r="M55" s="38">
        <v>0</v>
      </c>
      <c r="N55" s="38">
        <v>0</v>
      </c>
      <c r="O55" s="38">
        <v>0</v>
      </c>
      <c r="P55" s="38">
        <v>0</v>
      </c>
      <c r="Q55" s="38">
        <v>0</v>
      </c>
      <c r="R55" s="38">
        <v>0</v>
      </c>
      <c r="S55" s="38">
        <v>0</v>
      </c>
      <c r="T55" s="38">
        <v>0</v>
      </c>
      <c r="U55" s="38">
        <v>0</v>
      </c>
      <c r="V55" s="38">
        <v>0</v>
      </c>
      <c r="W55" s="38">
        <v>0</v>
      </c>
      <c r="X55" s="38">
        <v>1</v>
      </c>
      <c r="Y55" s="38">
        <v>0</v>
      </c>
      <c r="Z55" s="38">
        <v>0</v>
      </c>
      <c r="AA55" s="38">
        <v>0</v>
      </c>
      <c r="AB55" s="38">
        <v>0</v>
      </c>
      <c r="AC55" s="75" t="s">
        <v>411</v>
      </c>
      <c r="AD55" s="38">
        <v>0</v>
      </c>
      <c r="AE55" s="38">
        <v>0</v>
      </c>
      <c r="AF55" s="38">
        <v>0</v>
      </c>
      <c r="AG55" s="38">
        <v>0</v>
      </c>
      <c r="AH55" s="38">
        <v>0</v>
      </c>
      <c r="AI55" s="38">
        <v>0</v>
      </c>
      <c r="AJ55" s="37" t="s">
        <v>412</v>
      </c>
      <c r="AK55" s="39">
        <v>100522187</v>
      </c>
      <c r="AL55" s="38" t="str">
        <f t="shared" si="1"/>
        <v>NO</v>
      </c>
      <c r="AM55" s="38">
        <v>0</v>
      </c>
      <c r="AN55" s="38">
        <v>0</v>
      </c>
      <c r="AO55" s="39">
        <v>0</v>
      </c>
      <c r="AP55" s="39">
        <v>0</v>
      </c>
      <c r="AQ55" s="39">
        <v>1</v>
      </c>
      <c r="AR55" s="39">
        <v>0</v>
      </c>
      <c r="AS55" s="39">
        <v>0</v>
      </c>
      <c r="AT55" s="39">
        <v>0</v>
      </c>
      <c r="AU55" s="39">
        <v>0</v>
      </c>
      <c r="AV55" s="39">
        <v>1</v>
      </c>
      <c r="AW55" s="39">
        <v>0</v>
      </c>
      <c r="AX55" s="39">
        <v>0</v>
      </c>
      <c r="AY55" s="39">
        <v>0</v>
      </c>
      <c r="AZ55" s="39">
        <v>1</v>
      </c>
      <c r="BA55" s="39">
        <v>0</v>
      </c>
      <c r="BB55" s="39">
        <v>1</v>
      </c>
      <c r="BC55" s="39">
        <v>0</v>
      </c>
      <c r="BD55" s="39">
        <v>0</v>
      </c>
      <c r="BE55" s="39">
        <v>0</v>
      </c>
      <c r="BF55" s="39">
        <v>1</v>
      </c>
      <c r="BG55" s="39">
        <v>1</v>
      </c>
      <c r="BH55" s="39">
        <v>0</v>
      </c>
      <c r="BI55" s="39">
        <v>1</v>
      </c>
      <c r="BJ55" s="39">
        <v>0</v>
      </c>
      <c r="BK55" s="39">
        <v>0</v>
      </c>
      <c r="BL55" s="39">
        <v>0</v>
      </c>
      <c r="BM55" s="39">
        <v>0</v>
      </c>
      <c r="BN55" s="39">
        <v>0</v>
      </c>
      <c r="BO55" s="39">
        <v>0</v>
      </c>
      <c r="BP55" s="39">
        <v>0</v>
      </c>
      <c r="BQ55" s="39">
        <v>0</v>
      </c>
      <c r="BR55" s="39">
        <v>0</v>
      </c>
      <c r="BS55" s="39">
        <v>0</v>
      </c>
      <c r="BT55" s="39">
        <v>0</v>
      </c>
      <c r="BU55" s="39">
        <v>0</v>
      </c>
      <c r="BV55" s="39">
        <v>0</v>
      </c>
      <c r="BW55" s="39">
        <v>0</v>
      </c>
      <c r="BX55" s="39">
        <v>1</v>
      </c>
      <c r="BY55" s="39">
        <v>0</v>
      </c>
      <c r="BZ55" s="39">
        <v>0</v>
      </c>
      <c r="CA55" s="39">
        <v>0</v>
      </c>
      <c r="CB55" s="39">
        <v>0</v>
      </c>
      <c r="CC55" s="39">
        <v>0</v>
      </c>
      <c r="CD55" s="39">
        <v>0</v>
      </c>
      <c r="CE55" s="39">
        <v>0</v>
      </c>
      <c r="CF55" s="39">
        <v>1</v>
      </c>
      <c r="CG55" s="39">
        <v>0</v>
      </c>
      <c r="CH55" s="39">
        <v>0</v>
      </c>
      <c r="CI55" s="39">
        <v>0</v>
      </c>
      <c r="CJ55" s="39">
        <v>0</v>
      </c>
      <c r="CK55" s="39">
        <v>0</v>
      </c>
      <c r="CL55" s="39">
        <v>0</v>
      </c>
      <c r="CM55" s="56">
        <v>44217</v>
      </c>
      <c r="CN55" s="56">
        <v>44217</v>
      </c>
      <c r="CO55" s="48">
        <v>44322</v>
      </c>
      <c r="CP55" s="43">
        <f t="shared" si="5"/>
        <v>105</v>
      </c>
      <c r="CQ55" s="43" t="e">
        <f t="shared" si="6"/>
        <v>#VALUE!</v>
      </c>
      <c r="CR55" s="39" t="s">
        <v>184</v>
      </c>
      <c r="CS55" s="44">
        <v>44456</v>
      </c>
      <c r="CT55" s="86">
        <v>2</v>
      </c>
      <c r="CU55" s="39">
        <v>0</v>
      </c>
      <c r="CV55" s="39">
        <v>1</v>
      </c>
      <c r="CW55" s="39" t="s">
        <v>309</v>
      </c>
      <c r="CX55" s="39">
        <v>0</v>
      </c>
      <c r="CY55" s="39">
        <v>1</v>
      </c>
      <c r="CZ55" s="39">
        <v>0</v>
      </c>
      <c r="DA55" s="39">
        <v>0</v>
      </c>
      <c r="DB55" s="39">
        <v>0</v>
      </c>
      <c r="DC55" s="39">
        <v>0</v>
      </c>
      <c r="DD55" s="38">
        <v>1</v>
      </c>
      <c r="DE55" s="37" t="s">
        <v>413</v>
      </c>
      <c r="DF55" s="38">
        <v>1</v>
      </c>
      <c r="DG55" s="38">
        <v>0</v>
      </c>
      <c r="DH55" s="38">
        <v>0</v>
      </c>
      <c r="DI55" s="38">
        <v>0</v>
      </c>
      <c r="DJ55" s="38">
        <v>0</v>
      </c>
      <c r="DK55" s="38">
        <v>0</v>
      </c>
      <c r="DL55" s="38">
        <v>0</v>
      </c>
      <c r="DM55" s="38">
        <v>0</v>
      </c>
      <c r="DN55" s="38">
        <v>0</v>
      </c>
      <c r="DO55" s="38">
        <v>0</v>
      </c>
      <c r="DP55" s="38">
        <v>0</v>
      </c>
      <c r="DQ55" s="38">
        <v>0</v>
      </c>
      <c r="DZ55" s="38">
        <v>8</v>
      </c>
      <c r="EA55" s="38">
        <v>1</v>
      </c>
      <c r="EB55" s="65" t="str">
        <f t="shared" si="3"/>
        <v>YES!</v>
      </c>
      <c r="EC55" s="110">
        <v>3503</v>
      </c>
      <c r="ED55" s="112" t="s">
        <v>414</v>
      </c>
      <c r="EE55" s="102">
        <v>199.25</v>
      </c>
      <c r="EF55" s="100">
        <v>125.75</v>
      </c>
      <c r="EG55" s="100">
        <v>354.5</v>
      </c>
      <c r="EH55" s="100">
        <v>82</v>
      </c>
      <c r="EI55" s="100">
        <v>727</v>
      </c>
      <c r="EJ55" s="100">
        <v>414.25</v>
      </c>
      <c r="EK55" s="100">
        <v>139.75</v>
      </c>
      <c r="EL55" s="100">
        <v>66</v>
      </c>
      <c r="EM55" s="100">
        <v>105.75</v>
      </c>
      <c r="EN55" s="101">
        <v>109.25</v>
      </c>
      <c r="EO55" s="102">
        <v>75647.5</v>
      </c>
      <c r="EP55" s="100">
        <v>47629</v>
      </c>
      <c r="EQ55" s="100">
        <v>94516.5</v>
      </c>
      <c r="ER55" s="100">
        <v>37940.5</v>
      </c>
      <c r="ES55" s="100">
        <v>110333.5</v>
      </c>
      <c r="ET55" s="100">
        <v>102381.75</v>
      </c>
      <c r="EU55" s="100">
        <v>94092.75</v>
      </c>
      <c r="EV55" s="100">
        <v>28678</v>
      </c>
      <c r="EW55" s="100">
        <v>35701.25</v>
      </c>
      <c r="EX55" s="103">
        <v>47221.75</v>
      </c>
    </row>
    <row r="56" spans="1:154" s="38" customFormat="1" ht="43.2" x14ac:dyDescent="0.3">
      <c r="A56" s="36">
        <v>3532</v>
      </c>
      <c r="B56" s="46"/>
      <c r="C56" s="62" t="s">
        <v>165</v>
      </c>
      <c r="D56" s="40">
        <v>48</v>
      </c>
      <c r="E56" s="40">
        <v>0</v>
      </c>
      <c r="F56" s="40">
        <v>0</v>
      </c>
      <c r="G56" s="40" t="s">
        <v>180</v>
      </c>
      <c r="H56" s="40" t="s">
        <v>180</v>
      </c>
      <c r="I56" s="40">
        <v>1.8</v>
      </c>
      <c r="J56" s="40">
        <v>103</v>
      </c>
      <c r="K56" s="38">
        <v>0</v>
      </c>
      <c r="L56" s="38">
        <v>0</v>
      </c>
      <c r="M56" s="38">
        <v>0</v>
      </c>
      <c r="N56" s="38">
        <v>0</v>
      </c>
      <c r="O56" s="38">
        <v>0</v>
      </c>
      <c r="P56" s="38">
        <v>0</v>
      </c>
      <c r="Q56" s="38">
        <v>0</v>
      </c>
      <c r="R56" s="38">
        <v>0</v>
      </c>
      <c r="S56" s="38">
        <v>0</v>
      </c>
      <c r="T56" s="38">
        <v>0</v>
      </c>
      <c r="U56" s="38">
        <v>1</v>
      </c>
      <c r="V56" s="38">
        <v>0</v>
      </c>
      <c r="W56" s="38">
        <v>0</v>
      </c>
      <c r="X56" s="38">
        <v>0</v>
      </c>
      <c r="Y56" s="38">
        <v>0</v>
      </c>
      <c r="Z56" s="38">
        <v>0</v>
      </c>
      <c r="AA56" s="38">
        <v>0</v>
      </c>
      <c r="AB56" s="38">
        <v>0</v>
      </c>
      <c r="AC56" s="75"/>
      <c r="AD56" s="38">
        <v>0</v>
      </c>
      <c r="AE56" s="38">
        <v>0</v>
      </c>
      <c r="AF56" s="38">
        <v>0</v>
      </c>
      <c r="AG56" s="38">
        <v>0</v>
      </c>
      <c r="AH56" s="38">
        <v>0</v>
      </c>
      <c r="AI56" s="38">
        <v>0</v>
      </c>
      <c r="AJ56" s="37" t="s">
        <v>415</v>
      </c>
      <c r="AK56" s="59">
        <v>11504743</v>
      </c>
      <c r="AL56" s="38" t="str">
        <f t="shared" si="1"/>
        <v>NO</v>
      </c>
      <c r="AM56" s="38">
        <v>1</v>
      </c>
      <c r="AN56" s="38">
        <v>1</v>
      </c>
      <c r="AO56" s="39">
        <v>1</v>
      </c>
      <c r="AP56" s="39">
        <v>0</v>
      </c>
      <c r="AQ56" s="39">
        <v>1</v>
      </c>
      <c r="AR56" s="39">
        <v>0</v>
      </c>
      <c r="AS56" s="39">
        <v>0</v>
      </c>
      <c r="AT56" s="39">
        <v>1</v>
      </c>
      <c r="AU56" s="39">
        <v>1</v>
      </c>
      <c r="AV56" s="39">
        <v>0</v>
      </c>
      <c r="AW56" s="39">
        <v>0</v>
      </c>
      <c r="AX56" s="39">
        <v>1</v>
      </c>
      <c r="AY56" s="39">
        <v>0</v>
      </c>
      <c r="AZ56" s="39">
        <v>0</v>
      </c>
      <c r="BA56" s="39">
        <v>0</v>
      </c>
      <c r="BB56" s="39">
        <v>1</v>
      </c>
      <c r="BC56" s="39">
        <v>1</v>
      </c>
      <c r="BD56" s="39">
        <v>0</v>
      </c>
      <c r="BE56" s="39">
        <v>0</v>
      </c>
      <c r="BF56" s="39">
        <v>1</v>
      </c>
      <c r="BG56" s="39">
        <v>1</v>
      </c>
      <c r="BH56" s="39">
        <v>0</v>
      </c>
      <c r="BI56" s="39">
        <v>0</v>
      </c>
      <c r="BJ56" s="39">
        <v>0</v>
      </c>
      <c r="BK56" s="39">
        <v>0</v>
      </c>
      <c r="BL56" s="39">
        <v>0</v>
      </c>
      <c r="BM56" s="39">
        <v>1</v>
      </c>
      <c r="BN56" s="39">
        <v>0</v>
      </c>
      <c r="BO56" s="39">
        <v>0</v>
      </c>
      <c r="BP56" s="39">
        <v>0</v>
      </c>
      <c r="BQ56" s="39">
        <v>0</v>
      </c>
      <c r="BR56" s="39">
        <v>1</v>
      </c>
      <c r="BS56" s="39">
        <v>0</v>
      </c>
      <c r="BT56" s="39">
        <v>0</v>
      </c>
      <c r="BU56" s="39">
        <v>0</v>
      </c>
      <c r="BV56" s="39">
        <v>0</v>
      </c>
      <c r="BW56" s="39">
        <v>0</v>
      </c>
      <c r="BX56" s="39">
        <v>0</v>
      </c>
      <c r="BY56" s="39">
        <v>0</v>
      </c>
      <c r="BZ56" s="39">
        <v>0</v>
      </c>
      <c r="CA56" s="39">
        <v>0</v>
      </c>
      <c r="CB56" s="39">
        <v>0</v>
      </c>
      <c r="CC56" s="39">
        <v>0</v>
      </c>
      <c r="CD56" s="39">
        <v>0</v>
      </c>
      <c r="CE56" s="39">
        <v>0</v>
      </c>
      <c r="CF56" s="39">
        <v>0</v>
      </c>
      <c r="CG56" s="39">
        <v>0</v>
      </c>
      <c r="CH56" s="39">
        <v>1</v>
      </c>
      <c r="CI56" s="39">
        <v>1</v>
      </c>
      <c r="CJ56" s="39">
        <v>0</v>
      </c>
      <c r="CK56" s="39">
        <v>0</v>
      </c>
      <c r="CL56" s="39">
        <v>0</v>
      </c>
      <c r="CM56" s="56">
        <v>44078</v>
      </c>
      <c r="CN56" s="56">
        <v>44078</v>
      </c>
      <c r="CO56" s="48">
        <v>44328</v>
      </c>
      <c r="CP56" s="43">
        <f t="shared" si="5"/>
        <v>250</v>
      </c>
      <c r="CQ56" s="43" t="e">
        <f t="shared" si="6"/>
        <v>#VALUE!</v>
      </c>
      <c r="CR56" s="39" t="s">
        <v>184</v>
      </c>
      <c r="CS56" s="44">
        <v>44476</v>
      </c>
      <c r="CT56" s="86">
        <v>1</v>
      </c>
      <c r="CU56" s="39">
        <v>0</v>
      </c>
      <c r="CV56" s="39">
        <v>1</v>
      </c>
      <c r="CW56" s="39" t="s">
        <v>408</v>
      </c>
      <c r="CX56" s="39">
        <v>0</v>
      </c>
      <c r="CY56" s="39">
        <v>0</v>
      </c>
      <c r="CZ56" s="39">
        <v>0</v>
      </c>
      <c r="DA56" s="39">
        <v>0</v>
      </c>
      <c r="DB56" s="39">
        <v>0</v>
      </c>
      <c r="DC56" s="39">
        <v>0</v>
      </c>
      <c r="DD56" s="38">
        <v>0</v>
      </c>
      <c r="DE56" s="37"/>
      <c r="DF56" s="38">
        <v>1</v>
      </c>
      <c r="DG56" s="38">
        <v>0</v>
      </c>
      <c r="DH56" s="38">
        <v>0</v>
      </c>
      <c r="DI56" s="38">
        <v>1</v>
      </c>
      <c r="DJ56" s="38">
        <v>0</v>
      </c>
      <c r="DK56" s="38">
        <v>0</v>
      </c>
      <c r="DL56" s="38">
        <v>0</v>
      </c>
      <c r="DM56" s="38">
        <v>0</v>
      </c>
      <c r="DN56" s="38">
        <v>0</v>
      </c>
      <c r="DO56" s="38">
        <v>1</v>
      </c>
      <c r="DP56" s="38">
        <v>0</v>
      </c>
      <c r="DQ56" s="38">
        <v>0</v>
      </c>
      <c r="DZ56" s="38">
        <v>8</v>
      </c>
      <c r="EA56" s="38">
        <v>10</v>
      </c>
      <c r="EB56" s="65" t="str">
        <f t="shared" si="3"/>
        <v>YES!</v>
      </c>
      <c r="EC56" s="110">
        <v>3532</v>
      </c>
      <c r="ED56" s="112" t="s">
        <v>416</v>
      </c>
      <c r="EE56" s="102">
        <v>348</v>
      </c>
      <c r="EF56" s="100">
        <v>257.25</v>
      </c>
      <c r="EG56" s="100">
        <v>721.75</v>
      </c>
      <c r="EH56" s="100">
        <v>8.5</v>
      </c>
      <c r="EI56" s="100">
        <v>165.5</v>
      </c>
      <c r="EJ56" s="100">
        <v>181.25</v>
      </c>
      <c r="EK56" s="100">
        <v>186.5</v>
      </c>
      <c r="EL56" s="100">
        <v>303</v>
      </c>
      <c r="EM56" s="100">
        <v>158</v>
      </c>
      <c r="EN56" s="101">
        <v>210</v>
      </c>
      <c r="EO56" s="102">
        <v>186853.5</v>
      </c>
      <c r="EP56" s="100">
        <v>164726.25</v>
      </c>
      <c r="EQ56" s="100">
        <v>216375.75</v>
      </c>
      <c r="ER56" s="100">
        <v>6952.5</v>
      </c>
      <c r="ES56" s="100">
        <v>122881.25</v>
      </c>
      <c r="ET56" s="100">
        <v>37392</v>
      </c>
      <c r="EU56" s="100">
        <v>93650.25</v>
      </c>
      <c r="EV56" s="100">
        <v>129479.5</v>
      </c>
      <c r="EW56" s="100">
        <v>17048.25</v>
      </c>
      <c r="EX56" s="103">
        <v>110266.5</v>
      </c>
    </row>
    <row r="57" spans="1:154" s="38" customFormat="1" ht="43.2" x14ac:dyDescent="0.3">
      <c r="A57" s="90">
        <v>3556</v>
      </c>
      <c r="B57" s="63"/>
      <c r="C57" s="62" t="s">
        <v>149</v>
      </c>
      <c r="D57" s="40">
        <v>40</v>
      </c>
      <c r="E57" s="40">
        <v>0</v>
      </c>
      <c r="F57" s="40">
        <v>0</v>
      </c>
      <c r="G57" s="40" t="s">
        <v>151</v>
      </c>
      <c r="H57" s="40" t="s">
        <v>151</v>
      </c>
      <c r="I57" s="40"/>
      <c r="J57" s="40">
        <v>66.2</v>
      </c>
      <c r="K57" s="38">
        <v>0</v>
      </c>
      <c r="L57" s="38">
        <v>0</v>
      </c>
      <c r="M57" s="38">
        <v>0</v>
      </c>
      <c r="N57" s="38">
        <v>0</v>
      </c>
      <c r="O57" s="38">
        <v>1</v>
      </c>
      <c r="P57" s="38">
        <v>0</v>
      </c>
      <c r="Q57" s="38">
        <v>0</v>
      </c>
      <c r="R57" s="38">
        <v>0</v>
      </c>
      <c r="S57" s="38">
        <v>0</v>
      </c>
      <c r="T57" s="38">
        <v>0</v>
      </c>
      <c r="U57" s="38">
        <v>0</v>
      </c>
      <c r="V57" s="38">
        <v>0</v>
      </c>
      <c r="W57" s="38">
        <v>0</v>
      </c>
      <c r="X57" s="38">
        <v>0</v>
      </c>
      <c r="Y57" s="38">
        <v>0</v>
      </c>
      <c r="Z57" s="38">
        <v>0</v>
      </c>
      <c r="AA57" s="38">
        <v>0</v>
      </c>
      <c r="AB57" s="38">
        <v>1</v>
      </c>
      <c r="AC57" s="75" t="s">
        <v>417</v>
      </c>
      <c r="AD57" s="38">
        <v>0</v>
      </c>
      <c r="AE57" s="38">
        <v>0</v>
      </c>
      <c r="AF57" s="38">
        <v>1</v>
      </c>
      <c r="AG57" s="38">
        <v>0</v>
      </c>
      <c r="AH57" s="38">
        <v>0</v>
      </c>
      <c r="AI57" s="38">
        <v>0</v>
      </c>
      <c r="AJ57" s="37" t="s">
        <v>418</v>
      </c>
      <c r="AK57" s="39">
        <v>100573395</v>
      </c>
      <c r="AL57" s="38" t="str">
        <f t="shared" si="1"/>
        <v>NO</v>
      </c>
      <c r="AM57" s="38">
        <v>0</v>
      </c>
      <c r="AN57" s="38">
        <v>0</v>
      </c>
      <c r="AO57" s="39">
        <v>0</v>
      </c>
      <c r="AP57" s="39">
        <v>0</v>
      </c>
      <c r="AQ57" s="39">
        <v>1</v>
      </c>
      <c r="AR57" s="39">
        <v>0</v>
      </c>
      <c r="AS57" s="39">
        <v>0</v>
      </c>
      <c r="AT57" s="39">
        <v>0</v>
      </c>
      <c r="AU57" s="39">
        <v>0</v>
      </c>
      <c r="AV57" s="39">
        <v>1</v>
      </c>
      <c r="AW57" s="39">
        <v>0</v>
      </c>
      <c r="AX57" s="39">
        <v>1</v>
      </c>
      <c r="AY57" s="39">
        <v>0</v>
      </c>
      <c r="AZ57" s="39">
        <v>0</v>
      </c>
      <c r="BA57" s="39">
        <v>0</v>
      </c>
      <c r="BB57" s="39">
        <v>1</v>
      </c>
      <c r="BC57" s="39">
        <v>0</v>
      </c>
      <c r="BD57" s="39">
        <v>0</v>
      </c>
      <c r="BE57" s="39">
        <v>0</v>
      </c>
      <c r="BF57" s="39">
        <v>0</v>
      </c>
      <c r="BG57" s="39">
        <v>0</v>
      </c>
      <c r="BH57" s="39">
        <v>0</v>
      </c>
      <c r="BI57" s="39">
        <v>0</v>
      </c>
      <c r="BJ57" s="39">
        <v>0</v>
      </c>
      <c r="BK57" s="39">
        <v>0</v>
      </c>
      <c r="BL57" s="39">
        <v>0</v>
      </c>
      <c r="BM57" s="39">
        <v>0</v>
      </c>
      <c r="BN57" s="39">
        <v>0</v>
      </c>
      <c r="BO57" s="39">
        <v>0</v>
      </c>
      <c r="BP57" s="39">
        <v>0</v>
      </c>
      <c r="BQ57" s="39">
        <v>0</v>
      </c>
      <c r="BR57" s="39">
        <v>0</v>
      </c>
      <c r="BS57" s="39">
        <v>0</v>
      </c>
      <c r="BT57" s="39">
        <v>0</v>
      </c>
      <c r="BU57" s="39">
        <v>0</v>
      </c>
      <c r="BV57" s="39">
        <v>0</v>
      </c>
      <c r="BW57" s="39">
        <v>0</v>
      </c>
      <c r="BX57" s="39">
        <v>0</v>
      </c>
      <c r="BY57" s="39">
        <v>0</v>
      </c>
      <c r="BZ57" s="39">
        <v>0</v>
      </c>
      <c r="CA57" s="39">
        <v>0</v>
      </c>
      <c r="CB57" s="39">
        <v>0</v>
      </c>
      <c r="CC57" s="39">
        <v>0</v>
      </c>
      <c r="CD57" s="39">
        <v>0</v>
      </c>
      <c r="CE57" s="39">
        <v>0</v>
      </c>
      <c r="CF57" s="39">
        <v>1</v>
      </c>
      <c r="CG57" s="39">
        <v>0</v>
      </c>
      <c r="CH57" s="39">
        <v>0</v>
      </c>
      <c r="CI57" s="39">
        <v>0</v>
      </c>
      <c r="CJ57" s="39">
        <v>0</v>
      </c>
      <c r="CK57" s="39">
        <v>0</v>
      </c>
      <c r="CL57" s="39">
        <v>0</v>
      </c>
      <c r="CM57" s="56">
        <v>44180</v>
      </c>
      <c r="CN57" s="56">
        <v>44180</v>
      </c>
      <c r="CO57" s="48">
        <v>44336</v>
      </c>
      <c r="CP57" s="43">
        <f t="shared" si="5"/>
        <v>156</v>
      </c>
      <c r="CQ57" s="43" t="e">
        <f t="shared" si="6"/>
        <v>#VALUE!</v>
      </c>
      <c r="CR57" s="39" t="s">
        <v>184</v>
      </c>
      <c r="CS57" s="39" t="s">
        <v>184</v>
      </c>
      <c r="CT57" s="86"/>
      <c r="CU57" s="39">
        <v>1</v>
      </c>
      <c r="CV57" s="39">
        <v>1</v>
      </c>
      <c r="CW57" s="39" t="s">
        <v>419</v>
      </c>
      <c r="CX57" s="39">
        <v>0</v>
      </c>
      <c r="CY57" s="39">
        <v>1</v>
      </c>
      <c r="CZ57" s="39">
        <v>0</v>
      </c>
      <c r="DA57" s="39">
        <v>0</v>
      </c>
      <c r="DB57" s="39">
        <v>0</v>
      </c>
      <c r="DC57" s="39">
        <v>0</v>
      </c>
      <c r="DE57" s="37"/>
      <c r="DF57" s="38">
        <v>1</v>
      </c>
      <c r="DG57" s="38">
        <v>0</v>
      </c>
      <c r="DH57" s="38">
        <v>0</v>
      </c>
      <c r="DI57" s="38">
        <v>0</v>
      </c>
      <c r="DJ57" s="38">
        <v>0</v>
      </c>
      <c r="DK57" s="38">
        <v>0</v>
      </c>
      <c r="DL57" s="38">
        <v>0</v>
      </c>
      <c r="DM57" s="38">
        <v>0</v>
      </c>
      <c r="DN57" s="38">
        <v>0</v>
      </c>
      <c r="DO57" s="38">
        <v>0</v>
      </c>
      <c r="DP57" s="38">
        <v>0</v>
      </c>
      <c r="DQ57" s="38">
        <v>0</v>
      </c>
      <c r="DV57" s="38" t="s">
        <v>277</v>
      </c>
      <c r="DZ57" s="38">
        <v>1</v>
      </c>
      <c r="EA57" s="38">
        <v>1</v>
      </c>
      <c r="EB57" s="65" t="str">
        <f t="shared" si="3"/>
        <v>YES!</v>
      </c>
      <c r="EC57" s="110">
        <v>3556</v>
      </c>
      <c r="ED57" s="112" t="s">
        <v>420</v>
      </c>
      <c r="EE57" s="102">
        <v>21</v>
      </c>
      <c r="EF57" s="100">
        <v>14</v>
      </c>
      <c r="EG57" s="100">
        <v>35.75</v>
      </c>
      <c r="EH57" s="100">
        <v>-14.5</v>
      </c>
      <c r="EI57" s="100">
        <v>128.75</v>
      </c>
      <c r="EJ57" s="100">
        <v>260.5</v>
      </c>
      <c r="EK57" s="100">
        <v>248.5</v>
      </c>
      <c r="EL57" s="100">
        <v>383.5</v>
      </c>
      <c r="EM57" s="100">
        <v>0.75</v>
      </c>
      <c r="EN57" s="101">
        <v>8</v>
      </c>
      <c r="EO57" s="102">
        <v>13681.25</v>
      </c>
      <c r="EP57" s="100">
        <v>4201.25</v>
      </c>
      <c r="EQ57" s="100">
        <v>16396</v>
      </c>
      <c r="ER57" s="100">
        <v>2805</v>
      </c>
      <c r="ES57" s="100">
        <v>111138.5</v>
      </c>
      <c r="ET57" s="100">
        <v>58484.75</v>
      </c>
      <c r="EU57" s="100">
        <v>120214</v>
      </c>
      <c r="EV57" s="100">
        <v>53314</v>
      </c>
      <c r="EW57" s="100">
        <v>995.25</v>
      </c>
      <c r="EX57" s="103">
        <v>308.25</v>
      </c>
    </row>
    <row r="58" spans="1:154" s="38" customFormat="1" ht="43.2" x14ac:dyDescent="0.3">
      <c r="A58" s="52" t="s">
        <v>421</v>
      </c>
      <c r="B58" s="64"/>
      <c r="C58" s="62" t="s">
        <v>149</v>
      </c>
      <c r="D58" s="40">
        <v>52</v>
      </c>
      <c r="E58" s="40">
        <v>0</v>
      </c>
      <c r="F58" s="40">
        <v>0</v>
      </c>
      <c r="G58" s="64" t="s">
        <v>180</v>
      </c>
      <c r="H58" s="64" t="s">
        <v>180</v>
      </c>
      <c r="I58" s="40">
        <v>1.4</v>
      </c>
      <c r="J58" s="40">
        <v>75.5</v>
      </c>
      <c r="K58" s="38">
        <v>0</v>
      </c>
      <c r="L58" s="38">
        <v>0</v>
      </c>
      <c r="M58" s="38">
        <v>0</v>
      </c>
      <c r="N58" s="38">
        <v>0</v>
      </c>
      <c r="O58" s="38">
        <v>1</v>
      </c>
      <c r="P58" s="38">
        <v>0</v>
      </c>
      <c r="Q58" s="38">
        <v>0</v>
      </c>
      <c r="R58" s="38">
        <v>0</v>
      </c>
      <c r="S58" s="38">
        <v>0</v>
      </c>
      <c r="T58" s="38">
        <v>0</v>
      </c>
      <c r="U58" s="38">
        <v>0</v>
      </c>
      <c r="V58" s="38">
        <v>0</v>
      </c>
      <c r="W58" s="38">
        <v>0</v>
      </c>
      <c r="X58" s="38">
        <v>0</v>
      </c>
      <c r="Y58" s="38">
        <v>0</v>
      </c>
      <c r="Z58" s="38">
        <v>0</v>
      </c>
      <c r="AA58" s="38">
        <v>0</v>
      </c>
      <c r="AB58" s="38">
        <v>0</v>
      </c>
      <c r="AC58" s="75" t="s">
        <v>422</v>
      </c>
      <c r="AD58" s="38">
        <v>0</v>
      </c>
      <c r="AE58" s="38">
        <v>0</v>
      </c>
      <c r="AF58" s="38">
        <v>0</v>
      </c>
      <c r="AG58" s="38">
        <v>0</v>
      </c>
      <c r="AH58" s="38">
        <v>0</v>
      </c>
      <c r="AI58" s="38">
        <v>0</v>
      </c>
      <c r="AJ58" s="37"/>
      <c r="AK58" s="57">
        <v>9028823</v>
      </c>
      <c r="AL58" s="38" t="str">
        <f t="shared" si="1"/>
        <v>NO</v>
      </c>
      <c r="AM58" s="38">
        <v>0</v>
      </c>
      <c r="AN58" s="38">
        <v>0</v>
      </c>
      <c r="AO58" s="39">
        <v>1</v>
      </c>
      <c r="AP58" s="39">
        <v>0</v>
      </c>
      <c r="AQ58" s="39">
        <v>1</v>
      </c>
      <c r="AR58" s="39">
        <v>1</v>
      </c>
      <c r="AS58" s="39">
        <v>1</v>
      </c>
      <c r="AT58" s="39">
        <v>0</v>
      </c>
      <c r="AU58" s="39">
        <v>1</v>
      </c>
      <c r="AV58" s="39">
        <v>1</v>
      </c>
      <c r="AW58" s="39">
        <v>0</v>
      </c>
      <c r="AX58" s="39">
        <v>1</v>
      </c>
      <c r="AY58" s="39">
        <v>1</v>
      </c>
      <c r="AZ58" s="39">
        <v>1</v>
      </c>
      <c r="BA58" s="39">
        <v>1</v>
      </c>
      <c r="BB58" s="39">
        <v>1</v>
      </c>
      <c r="BC58" s="39">
        <v>1</v>
      </c>
      <c r="BD58" s="39">
        <v>0</v>
      </c>
      <c r="BE58" s="39">
        <v>1</v>
      </c>
      <c r="BF58" s="39">
        <v>0</v>
      </c>
      <c r="BG58" s="39">
        <v>0</v>
      </c>
      <c r="BH58" s="39">
        <v>0</v>
      </c>
      <c r="BI58" s="39">
        <v>0</v>
      </c>
      <c r="BJ58" s="39">
        <v>0</v>
      </c>
      <c r="BK58" s="39">
        <v>0</v>
      </c>
      <c r="BL58" s="39">
        <v>0</v>
      </c>
      <c r="BM58" s="39">
        <v>0</v>
      </c>
      <c r="BN58" s="39">
        <v>0</v>
      </c>
      <c r="BO58" s="39">
        <v>0</v>
      </c>
      <c r="BP58" s="39">
        <v>0</v>
      </c>
      <c r="BQ58" s="39">
        <v>0</v>
      </c>
      <c r="BR58" s="39">
        <v>0</v>
      </c>
      <c r="BS58" s="39">
        <v>0</v>
      </c>
      <c r="BT58" s="39">
        <v>0</v>
      </c>
      <c r="BU58" s="39">
        <v>0</v>
      </c>
      <c r="BV58" s="39">
        <v>1</v>
      </c>
      <c r="BW58" s="39">
        <v>0</v>
      </c>
      <c r="BX58" s="39">
        <v>0</v>
      </c>
      <c r="BY58" s="39">
        <v>0</v>
      </c>
      <c r="BZ58" s="39">
        <v>0</v>
      </c>
      <c r="CA58" s="39">
        <v>0</v>
      </c>
      <c r="CB58" s="39">
        <v>0</v>
      </c>
      <c r="CC58" s="39">
        <v>0</v>
      </c>
      <c r="CD58" s="39">
        <v>0</v>
      </c>
      <c r="CE58" s="39">
        <v>0</v>
      </c>
      <c r="CF58" s="39">
        <v>1</v>
      </c>
      <c r="CG58" s="39">
        <v>0</v>
      </c>
      <c r="CH58" s="39">
        <v>0</v>
      </c>
      <c r="CI58" s="39">
        <v>0</v>
      </c>
      <c r="CJ58" s="39">
        <v>0</v>
      </c>
      <c r="CK58" s="39">
        <v>0</v>
      </c>
      <c r="CL58" s="39">
        <v>0</v>
      </c>
      <c r="CM58" s="56">
        <v>44166</v>
      </c>
      <c r="CN58" s="56">
        <v>44166</v>
      </c>
      <c r="CO58" s="48">
        <v>44342</v>
      </c>
      <c r="CP58" s="43">
        <f t="shared" si="5"/>
        <v>176</v>
      </c>
      <c r="CQ58" s="43" t="e">
        <f t="shared" si="6"/>
        <v>#VALUE!</v>
      </c>
      <c r="CR58" s="39" t="s">
        <v>184</v>
      </c>
      <c r="CS58" s="39" t="s">
        <v>184</v>
      </c>
      <c r="CT58" s="86"/>
      <c r="CU58" s="39">
        <v>0</v>
      </c>
      <c r="CV58" s="39">
        <v>1</v>
      </c>
      <c r="CW58" s="39" t="s">
        <v>423</v>
      </c>
      <c r="CX58" s="39">
        <v>0</v>
      </c>
      <c r="CY58" s="39">
        <v>1</v>
      </c>
      <c r="CZ58" s="39">
        <v>0</v>
      </c>
      <c r="DA58" s="39">
        <v>0</v>
      </c>
      <c r="DB58" s="39">
        <v>0</v>
      </c>
      <c r="DC58" s="39">
        <v>0</v>
      </c>
      <c r="DD58" s="38">
        <v>0</v>
      </c>
      <c r="DE58" s="37"/>
      <c r="DF58" s="38">
        <v>1</v>
      </c>
      <c r="DG58" s="38">
        <v>0</v>
      </c>
      <c r="DH58" s="38">
        <v>0</v>
      </c>
      <c r="DI58" s="38">
        <v>0</v>
      </c>
      <c r="DJ58" s="38">
        <v>0</v>
      </c>
      <c r="DK58" s="38">
        <v>0</v>
      </c>
      <c r="DL58" s="38">
        <v>0</v>
      </c>
      <c r="DM58" s="38">
        <v>0</v>
      </c>
      <c r="DN58" s="38">
        <v>0</v>
      </c>
      <c r="DO58" s="38">
        <v>0</v>
      </c>
      <c r="DP58" s="38">
        <v>0</v>
      </c>
      <c r="DQ58" s="38">
        <v>0</v>
      </c>
      <c r="DU58" s="38" t="s">
        <v>205</v>
      </c>
      <c r="DV58" s="38" t="s">
        <v>264</v>
      </c>
      <c r="DZ58" s="38">
        <v>16</v>
      </c>
      <c r="EA58" s="38">
        <v>11</v>
      </c>
      <c r="EB58" s="65" t="str">
        <f t="shared" si="3"/>
        <v>YES!</v>
      </c>
      <c r="EC58" s="109" t="s">
        <v>424</v>
      </c>
      <c r="ED58" s="112" t="s">
        <v>425</v>
      </c>
      <c r="EE58" s="102">
        <v>177.25</v>
      </c>
      <c r="EF58" s="100">
        <v>136.75</v>
      </c>
      <c r="EG58" s="100">
        <v>323</v>
      </c>
      <c r="EH58" s="100">
        <v>-3.5</v>
      </c>
      <c r="EI58" s="100">
        <v>-12</v>
      </c>
      <c r="EJ58" s="100">
        <v>9.25</v>
      </c>
      <c r="EK58" s="100">
        <v>-0.5</v>
      </c>
      <c r="EL58" s="100">
        <v>-19.25</v>
      </c>
      <c r="EM58" s="100">
        <v>27</v>
      </c>
      <c r="EN58" s="101">
        <v>47.75</v>
      </c>
      <c r="EO58" s="102">
        <v>183541.5</v>
      </c>
      <c r="EP58" s="100">
        <v>141921.25</v>
      </c>
      <c r="EQ58" s="100">
        <v>198390.75</v>
      </c>
      <c r="ER58" s="100">
        <v>1621.25</v>
      </c>
      <c r="ES58" s="100">
        <v>103</v>
      </c>
      <c r="ET58" s="100">
        <v>156.5</v>
      </c>
      <c r="EU58" s="100">
        <v>44503</v>
      </c>
      <c r="EV58" s="100">
        <v>23156</v>
      </c>
      <c r="EW58" s="100">
        <v>20233.5</v>
      </c>
      <c r="EX58" s="103">
        <v>46331.75</v>
      </c>
    </row>
    <row r="59" spans="1:154" s="38" customFormat="1" ht="55.2" x14ac:dyDescent="0.3">
      <c r="A59" s="36">
        <v>3580</v>
      </c>
      <c r="B59" s="63"/>
      <c r="C59" s="62" t="s">
        <v>149</v>
      </c>
      <c r="D59" s="40">
        <v>55</v>
      </c>
      <c r="E59" s="40">
        <v>0</v>
      </c>
      <c r="F59" s="40">
        <v>0</v>
      </c>
      <c r="G59" s="40" t="s">
        <v>151</v>
      </c>
      <c r="H59" s="40" t="s">
        <v>151</v>
      </c>
      <c r="I59" s="40">
        <v>1.7</v>
      </c>
      <c r="J59" s="40">
        <v>104</v>
      </c>
      <c r="K59" s="38">
        <v>0</v>
      </c>
      <c r="L59" s="38">
        <v>0</v>
      </c>
      <c r="M59" s="38">
        <v>0</v>
      </c>
      <c r="N59" s="38">
        <v>0</v>
      </c>
      <c r="O59" s="38">
        <v>1</v>
      </c>
      <c r="P59" s="38">
        <v>0</v>
      </c>
      <c r="Q59" s="38">
        <v>1</v>
      </c>
      <c r="R59" s="38">
        <v>0</v>
      </c>
      <c r="S59" s="38">
        <v>0</v>
      </c>
      <c r="T59" s="38">
        <v>0</v>
      </c>
      <c r="U59" s="38">
        <v>1</v>
      </c>
      <c r="V59" s="38">
        <v>0</v>
      </c>
      <c r="W59" s="38">
        <v>0</v>
      </c>
      <c r="X59" s="38">
        <v>0</v>
      </c>
      <c r="Y59" s="38">
        <v>0</v>
      </c>
      <c r="Z59" s="38">
        <v>0</v>
      </c>
      <c r="AA59" s="38">
        <v>0</v>
      </c>
      <c r="AB59" s="38">
        <v>0</v>
      </c>
      <c r="AC59" s="75" t="s">
        <v>426</v>
      </c>
      <c r="AD59" s="38">
        <v>0</v>
      </c>
      <c r="AE59" s="38">
        <v>0</v>
      </c>
      <c r="AF59" s="38">
        <v>1</v>
      </c>
      <c r="AG59" s="38">
        <v>0</v>
      </c>
      <c r="AH59" s="38">
        <v>0</v>
      </c>
      <c r="AI59" s="38">
        <v>0</v>
      </c>
      <c r="AJ59" s="37" t="s">
        <v>427</v>
      </c>
      <c r="AK59" s="39">
        <v>95600730</v>
      </c>
      <c r="AL59" s="38" t="str">
        <f t="shared" si="1"/>
        <v>NO</v>
      </c>
      <c r="AM59" s="38">
        <v>0</v>
      </c>
      <c r="AN59" s="38">
        <v>0</v>
      </c>
      <c r="AO59" s="39">
        <v>1</v>
      </c>
      <c r="AP59" s="39">
        <v>0</v>
      </c>
      <c r="AQ59" s="39">
        <v>1</v>
      </c>
      <c r="AR59" s="39">
        <v>0</v>
      </c>
      <c r="AS59" s="39">
        <v>1</v>
      </c>
      <c r="AT59" s="39">
        <v>0</v>
      </c>
      <c r="AU59" s="39">
        <v>0</v>
      </c>
      <c r="AV59" s="39">
        <v>0</v>
      </c>
      <c r="AW59" s="39">
        <v>0</v>
      </c>
      <c r="AX59" s="39">
        <v>1</v>
      </c>
      <c r="AY59" s="39">
        <v>0</v>
      </c>
      <c r="AZ59" s="39">
        <v>0</v>
      </c>
      <c r="BA59" s="39">
        <v>0</v>
      </c>
      <c r="BB59" s="39">
        <v>0</v>
      </c>
      <c r="BC59" s="39">
        <v>0</v>
      </c>
      <c r="BD59" s="39">
        <v>0</v>
      </c>
      <c r="BE59" s="39">
        <v>0</v>
      </c>
      <c r="BF59" s="39">
        <v>0</v>
      </c>
      <c r="BG59" s="39">
        <v>1</v>
      </c>
      <c r="BH59" s="39">
        <v>0</v>
      </c>
      <c r="BI59" s="39">
        <v>0</v>
      </c>
      <c r="BJ59" s="39">
        <v>0</v>
      </c>
      <c r="BK59" s="39">
        <v>0</v>
      </c>
      <c r="BL59" s="39">
        <v>0</v>
      </c>
      <c r="BM59" s="39">
        <v>0</v>
      </c>
      <c r="BN59" s="39">
        <v>0</v>
      </c>
      <c r="BO59" s="39">
        <v>0</v>
      </c>
      <c r="BP59" s="39">
        <v>0</v>
      </c>
      <c r="BQ59" s="39">
        <v>0</v>
      </c>
      <c r="BR59" s="39">
        <v>0</v>
      </c>
      <c r="BS59" s="39">
        <v>0</v>
      </c>
      <c r="BT59" s="39">
        <v>1</v>
      </c>
      <c r="BU59" s="39">
        <v>1</v>
      </c>
      <c r="BV59" s="39">
        <v>0</v>
      </c>
      <c r="BW59" s="39">
        <v>0</v>
      </c>
      <c r="BX59" s="39">
        <v>0</v>
      </c>
      <c r="BY59" s="39">
        <v>0</v>
      </c>
      <c r="BZ59" s="39">
        <v>0</v>
      </c>
      <c r="CA59" s="39">
        <v>0</v>
      </c>
      <c r="CB59" s="39">
        <v>0</v>
      </c>
      <c r="CC59" s="39">
        <v>0</v>
      </c>
      <c r="CD59" s="39">
        <v>0</v>
      </c>
      <c r="CE59" s="39">
        <v>0</v>
      </c>
      <c r="CF59" s="39">
        <v>0</v>
      </c>
      <c r="CG59" s="39">
        <v>0</v>
      </c>
      <c r="CH59" s="39">
        <v>1</v>
      </c>
      <c r="CI59" s="39">
        <v>1</v>
      </c>
      <c r="CJ59" s="39">
        <v>0</v>
      </c>
      <c r="CK59" s="39">
        <v>0</v>
      </c>
      <c r="CL59" s="39">
        <v>0</v>
      </c>
      <c r="CM59" s="56">
        <v>44197</v>
      </c>
      <c r="CN59" s="56">
        <v>44197</v>
      </c>
      <c r="CO59" s="48">
        <v>44342</v>
      </c>
      <c r="CP59" s="43">
        <f t="shared" si="5"/>
        <v>145</v>
      </c>
      <c r="CQ59" s="43" t="e">
        <f t="shared" si="6"/>
        <v>#VALUE!</v>
      </c>
      <c r="CR59" s="39" t="s">
        <v>184</v>
      </c>
      <c r="CS59" s="39" t="s">
        <v>184</v>
      </c>
      <c r="CT59" s="86"/>
      <c r="CU59" s="39">
        <v>0</v>
      </c>
      <c r="CV59" s="39">
        <v>0</v>
      </c>
      <c r="CW59" s="39"/>
      <c r="CX59" s="39">
        <v>0</v>
      </c>
      <c r="CY59" s="39">
        <v>0</v>
      </c>
      <c r="CZ59" s="39">
        <v>0</v>
      </c>
      <c r="DA59" s="39">
        <v>0</v>
      </c>
      <c r="DB59" s="39">
        <v>0</v>
      </c>
      <c r="DC59" s="39">
        <v>1</v>
      </c>
      <c r="DD59" s="38">
        <v>0</v>
      </c>
      <c r="DE59" s="37"/>
      <c r="DF59" s="38">
        <v>1</v>
      </c>
      <c r="DG59" s="38">
        <v>0</v>
      </c>
      <c r="DH59" s="38">
        <v>0</v>
      </c>
      <c r="DI59" s="38">
        <v>0</v>
      </c>
      <c r="DJ59" s="38">
        <v>1</v>
      </c>
      <c r="DK59" s="38">
        <v>0</v>
      </c>
      <c r="DL59" s="38">
        <v>0</v>
      </c>
      <c r="DM59" s="38">
        <v>0</v>
      </c>
      <c r="DN59" s="38">
        <v>0</v>
      </c>
      <c r="DO59" s="38">
        <v>0</v>
      </c>
      <c r="DP59" s="38">
        <v>0</v>
      </c>
      <c r="DQ59" s="38">
        <v>0</v>
      </c>
      <c r="DU59" s="38" t="s">
        <v>205</v>
      </c>
      <c r="DV59" s="38" t="s">
        <v>277</v>
      </c>
      <c r="DZ59" s="38">
        <v>1</v>
      </c>
      <c r="EA59" s="38">
        <v>1</v>
      </c>
      <c r="EB59" s="65" t="str">
        <f t="shared" si="3"/>
        <v>YES!</v>
      </c>
      <c r="EC59" s="110">
        <v>3580</v>
      </c>
      <c r="ED59" s="112" t="s">
        <v>428</v>
      </c>
      <c r="EE59" s="102">
        <v>8.25</v>
      </c>
      <c r="EF59" s="100">
        <v>13.25</v>
      </c>
      <c r="EG59" s="100">
        <v>38.75</v>
      </c>
      <c r="EH59" s="100">
        <v>3.25</v>
      </c>
      <c r="EI59" s="100">
        <v>79.5</v>
      </c>
      <c r="EJ59" s="100">
        <v>160.5</v>
      </c>
      <c r="EK59" s="100">
        <v>9.5</v>
      </c>
      <c r="EL59" s="100">
        <v>234.75</v>
      </c>
      <c r="EM59" s="100">
        <v>240.5</v>
      </c>
      <c r="EN59" s="101">
        <v>118.75</v>
      </c>
      <c r="EO59" s="102">
        <v>8153</v>
      </c>
      <c r="EP59" s="100">
        <v>4811.25</v>
      </c>
      <c r="EQ59" s="100">
        <v>38304.25</v>
      </c>
      <c r="ER59" s="100">
        <v>11596.75</v>
      </c>
      <c r="ES59" s="100">
        <v>61753</v>
      </c>
      <c r="ET59" s="100">
        <v>58008.5</v>
      </c>
      <c r="EU59" s="100">
        <v>63939.75</v>
      </c>
      <c r="EV59" s="100">
        <v>108580</v>
      </c>
      <c r="EW59" s="100">
        <v>96489.25</v>
      </c>
      <c r="EX59" s="103">
        <v>81423.5</v>
      </c>
    </row>
    <row r="60" spans="1:154" s="38" customFormat="1" ht="43.2" x14ac:dyDescent="0.3">
      <c r="A60" s="36">
        <v>3591</v>
      </c>
      <c r="B60" s="63"/>
      <c r="C60" s="62" t="s">
        <v>149</v>
      </c>
      <c r="D60" s="40">
        <v>57</v>
      </c>
      <c r="E60" s="40">
        <v>0</v>
      </c>
      <c r="F60" s="40">
        <v>0</v>
      </c>
      <c r="G60" s="40" t="s">
        <v>180</v>
      </c>
      <c r="H60" s="40" t="s">
        <v>180</v>
      </c>
      <c r="I60" s="40">
        <v>1.6</v>
      </c>
      <c r="J60" s="40">
        <v>59</v>
      </c>
      <c r="K60" s="38">
        <v>0</v>
      </c>
      <c r="L60" s="38">
        <v>1</v>
      </c>
      <c r="M60" s="38">
        <v>1</v>
      </c>
      <c r="N60" s="38">
        <v>0</v>
      </c>
      <c r="O60" s="38">
        <v>0</v>
      </c>
      <c r="P60" s="38">
        <v>0</v>
      </c>
      <c r="Q60" s="38">
        <v>0</v>
      </c>
      <c r="R60" s="38">
        <v>0</v>
      </c>
      <c r="S60" s="38">
        <v>0</v>
      </c>
      <c r="T60" s="38">
        <v>0</v>
      </c>
      <c r="U60" s="38">
        <v>0</v>
      </c>
      <c r="V60" s="38">
        <v>0</v>
      </c>
      <c r="W60" s="38">
        <v>0</v>
      </c>
      <c r="X60" s="38">
        <v>0</v>
      </c>
      <c r="Y60" s="38">
        <v>0</v>
      </c>
      <c r="Z60" s="38">
        <v>0</v>
      </c>
      <c r="AA60" s="38">
        <v>0</v>
      </c>
      <c r="AB60" s="38">
        <v>0</v>
      </c>
      <c r="AC60" s="72"/>
      <c r="AD60" s="38">
        <v>0</v>
      </c>
      <c r="AE60" s="38">
        <v>0</v>
      </c>
      <c r="AF60" s="38">
        <v>0</v>
      </c>
      <c r="AG60" s="38">
        <v>0</v>
      </c>
      <c r="AH60" s="38">
        <v>0</v>
      </c>
      <c r="AI60" s="38">
        <v>0</v>
      </c>
      <c r="AJ60" s="37" t="s">
        <v>429</v>
      </c>
      <c r="AK60" s="39">
        <v>52726248</v>
      </c>
      <c r="AL60" s="38" t="str">
        <f t="shared" si="1"/>
        <v>NO</v>
      </c>
      <c r="AM60" s="38">
        <v>0</v>
      </c>
      <c r="AN60" s="38">
        <v>0</v>
      </c>
      <c r="AO60" s="37">
        <v>1</v>
      </c>
      <c r="AP60" s="37">
        <v>0</v>
      </c>
      <c r="AQ60" s="37">
        <v>1</v>
      </c>
      <c r="AR60" s="37">
        <v>0</v>
      </c>
      <c r="AS60" s="37">
        <v>1</v>
      </c>
      <c r="AT60" s="37">
        <v>0</v>
      </c>
      <c r="AU60" s="37">
        <v>0</v>
      </c>
      <c r="AV60" s="37">
        <v>1</v>
      </c>
      <c r="AW60" s="37">
        <v>0</v>
      </c>
      <c r="AX60" s="37">
        <v>1</v>
      </c>
      <c r="AY60" s="37">
        <v>1</v>
      </c>
      <c r="AZ60" s="37">
        <v>0</v>
      </c>
      <c r="BA60" s="37">
        <v>1</v>
      </c>
      <c r="BB60" s="37">
        <v>1</v>
      </c>
      <c r="BC60" s="37">
        <v>1</v>
      </c>
      <c r="BD60" s="37">
        <v>1</v>
      </c>
      <c r="BE60" s="37">
        <v>0</v>
      </c>
      <c r="BF60" s="37">
        <v>0</v>
      </c>
      <c r="BG60" s="37">
        <v>0</v>
      </c>
      <c r="BH60" s="37">
        <v>0</v>
      </c>
      <c r="BI60" s="37">
        <v>1</v>
      </c>
      <c r="BJ60" s="37">
        <v>0</v>
      </c>
      <c r="BK60" s="37">
        <v>0</v>
      </c>
      <c r="BL60" s="37">
        <v>0</v>
      </c>
      <c r="BM60" s="37">
        <v>0</v>
      </c>
      <c r="BN60" s="37">
        <v>0</v>
      </c>
      <c r="BO60" s="37">
        <v>0</v>
      </c>
      <c r="BP60" s="37">
        <v>1</v>
      </c>
      <c r="BQ60" s="37">
        <v>0</v>
      </c>
      <c r="BR60" s="37">
        <v>0</v>
      </c>
      <c r="BS60" s="37">
        <v>0</v>
      </c>
      <c r="BT60" s="37">
        <v>0</v>
      </c>
      <c r="BU60" s="37">
        <v>1</v>
      </c>
      <c r="BV60" s="37">
        <v>0</v>
      </c>
      <c r="BW60" s="37">
        <v>0</v>
      </c>
      <c r="BX60" s="37">
        <v>0</v>
      </c>
      <c r="BY60" s="37">
        <v>0</v>
      </c>
      <c r="BZ60" s="37">
        <v>0</v>
      </c>
      <c r="CA60" s="37">
        <v>0</v>
      </c>
      <c r="CB60" s="37">
        <v>0</v>
      </c>
      <c r="CC60" s="37">
        <v>0</v>
      </c>
      <c r="CD60" s="37">
        <v>0</v>
      </c>
      <c r="CE60" s="37">
        <v>0</v>
      </c>
      <c r="CF60" s="37">
        <v>0</v>
      </c>
      <c r="CG60" s="37">
        <v>1</v>
      </c>
      <c r="CH60" s="37">
        <v>1</v>
      </c>
      <c r="CI60" s="37">
        <v>0</v>
      </c>
      <c r="CJ60" s="37">
        <v>0</v>
      </c>
      <c r="CK60" s="37">
        <v>0</v>
      </c>
      <c r="CL60" s="37">
        <v>0</v>
      </c>
      <c r="CM60" s="60">
        <v>44228</v>
      </c>
      <c r="CN60" s="60">
        <v>44228</v>
      </c>
      <c r="CO60" s="48">
        <v>44344</v>
      </c>
      <c r="CP60" s="43">
        <f t="shared" si="5"/>
        <v>116</v>
      </c>
      <c r="CQ60" s="43" t="e">
        <f t="shared" si="6"/>
        <v>#VALUE!</v>
      </c>
      <c r="CR60" s="37" t="s">
        <v>184</v>
      </c>
      <c r="CS60" s="37" t="s">
        <v>184</v>
      </c>
      <c r="CT60" s="87"/>
      <c r="CU60" s="37">
        <v>0</v>
      </c>
      <c r="CV60" s="37">
        <v>0</v>
      </c>
      <c r="CW60" s="37"/>
      <c r="CX60" s="37">
        <v>0</v>
      </c>
      <c r="CY60" s="37">
        <v>0</v>
      </c>
      <c r="CZ60" s="37">
        <v>0</v>
      </c>
      <c r="DA60" s="37">
        <v>0</v>
      </c>
      <c r="DB60" s="37">
        <v>0</v>
      </c>
      <c r="DC60" s="37">
        <v>0</v>
      </c>
      <c r="DD60" s="38">
        <v>0</v>
      </c>
      <c r="DE60" s="37"/>
      <c r="DF60" s="38">
        <v>1</v>
      </c>
      <c r="DG60" s="38">
        <v>0</v>
      </c>
      <c r="DH60" s="38">
        <v>0</v>
      </c>
      <c r="DI60" s="38">
        <v>0</v>
      </c>
      <c r="DJ60" s="38">
        <v>0</v>
      </c>
      <c r="DK60" s="38">
        <v>0</v>
      </c>
      <c r="DL60" s="38">
        <v>0</v>
      </c>
      <c r="DM60" s="38">
        <v>0</v>
      </c>
      <c r="DN60" s="38">
        <v>0</v>
      </c>
      <c r="DO60" s="38">
        <v>0</v>
      </c>
      <c r="DP60" s="38">
        <v>0</v>
      </c>
      <c r="DQ60" s="38">
        <v>0</v>
      </c>
      <c r="DZ60" s="38">
        <v>2</v>
      </c>
      <c r="EA60" s="38">
        <v>4</v>
      </c>
      <c r="EB60" s="65" t="str">
        <f t="shared" si="3"/>
        <v>YES!</v>
      </c>
      <c r="EC60" s="110">
        <v>3591</v>
      </c>
      <c r="ED60" s="112" t="s">
        <v>430</v>
      </c>
      <c r="EE60" s="102">
        <v>1025.25</v>
      </c>
      <c r="EF60" s="100">
        <v>660</v>
      </c>
      <c r="EG60" s="100">
        <v>2340.5</v>
      </c>
      <c r="EH60" s="100">
        <v>128</v>
      </c>
      <c r="EI60" s="100">
        <v>238</v>
      </c>
      <c r="EJ60" s="100">
        <v>389.5</v>
      </c>
      <c r="EK60" s="100">
        <v>1229.75</v>
      </c>
      <c r="EL60" s="100">
        <v>312</v>
      </c>
      <c r="EM60" s="100">
        <v>226.5</v>
      </c>
      <c r="EN60" s="101">
        <v>433.5</v>
      </c>
      <c r="EO60" s="102">
        <v>65804</v>
      </c>
      <c r="EP60" s="100">
        <v>43098.75</v>
      </c>
      <c r="EQ60" s="100">
        <v>56725.5</v>
      </c>
      <c r="ER60" s="100">
        <v>48180.5</v>
      </c>
      <c r="ES60" s="100">
        <v>109057.75</v>
      </c>
      <c r="ET60" s="100">
        <v>69093</v>
      </c>
      <c r="EU60" s="100">
        <v>115956.5</v>
      </c>
      <c r="EV60" s="100">
        <v>49050.25</v>
      </c>
      <c r="EW60" s="100">
        <v>11159</v>
      </c>
      <c r="EX60" s="103">
        <v>127044.25</v>
      </c>
    </row>
    <row r="61" spans="1:154" s="38" customFormat="1" ht="43.8" thickBot="1" x14ac:dyDescent="0.35">
      <c r="A61" s="36">
        <v>3593</v>
      </c>
      <c r="B61" s="63"/>
      <c r="C61" s="62" t="s">
        <v>149</v>
      </c>
      <c r="D61" s="67">
        <v>49</v>
      </c>
      <c r="E61" s="40">
        <v>0</v>
      </c>
      <c r="F61" s="40">
        <v>0</v>
      </c>
      <c r="G61" s="40" t="s">
        <v>180</v>
      </c>
      <c r="H61" s="40" t="s">
        <v>180</v>
      </c>
      <c r="I61" s="40">
        <v>1.6</v>
      </c>
      <c r="J61" s="40">
        <v>102</v>
      </c>
      <c r="K61" s="38">
        <v>0</v>
      </c>
      <c r="L61" s="38">
        <v>0</v>
      </c>
      <c r="M61" s="38">
        <v>0</v>
      </c>
      <c r="N61" s="38">
        <v>0</v>
      </c>
      <c r="O61" s="38">
        <v>0</v>
      </c>
      <c r="P61" s="38">
        <v>0</v>
      </c>
      <c r="Q61" s="38">
        <v>0</v>
      </c>
      <c r="R61" s="38">
        <v>0</v>
      </c>
      <c r="S61" s="38">
        <v>0</v>
      </c>
      <c r="T61" s="38">
        <v>0</v>
      </c>
      <c r="U61" s="38">
        <v>1</v>
      </c>
      <c r="V61" s="38">
        <v>0</v>
      </c>
      <c r="W61" s="38">
        <v>0</v>
      </c>
      <c r="X61" s="38">
        <v>0</v>
      </c>
      <c r="Y61" s="38">
        <v>0</v>
      </c>
      <c r="Z61" s="38">
        <v>1</v>
      </c>
      <c r="AA61" s="38">
        <v>0</v>
      </c>
      <c r="AB61" s="38">
        <v>0</v>
      </c>
      <c r="AC61" s="72" t="s">
        <v>431</v>
      </c>
      <c r="AJ61" s="37"/>
      <c r="AK61" s="39">
        <v>52762246</v>
      </c>
      <c r="AL61" s="38" t="str">
        <f t="shared" si="1"/>
        <v>NO</v>
      </c>
      <c r="AM61" s="38">
        <v>1</v>
      </c>
      <c r="AN61" s="38">
        <v>1</v>
      </c>
      <c r="AO61" s="37">
        <v>1</v>
      </c>
      <c r="AP61" s="37">
        <v>0</v>
      </c>
      <c r="AQ61" s="37">
        <v>1</v>
      </c>
      <c r="AR61" s="37">
        <v>0</v>
      </c>
      <c r="AS61" s="37">
        <v>1</v>
      </c>
      <c r="AT61" s="37">
        <v>0</v>
      </c>
      <c r="AU61" s="37">
        <v>1</v>
      </c>
      <c r="AV61" s="37">
        <v>1</v>
      </c>
      <c r="AW61" s="37">
        <v>0</v>
      </c>
      <c r="AX61" s="37">
        <v>1</v>
      </c>
      <c r="AY61" s="37">
        <v>1</v>
      </c>
      <c r="AZ61" s="37">
        <v>1</v>
      </c>
      <c r="BA61" s="37">
        <v>1</v>
      </c>
      <c r="BB61" s="37">
        <v>1</v>
      </c>
      <c r="BC61" s="37">
        <v>1</v>
      </c>
      <c r="BD61" s="37">
        <v>0</v>
      </c>
      <c r="BE61" s="37">
        <v>0</v>
      </c>
      <c r="BF61" s="37">
        <v>0</v>
      </c>
      <c r="BG61" s="37">
        <v>0</v>
      </c>
      <c r="BH61" s="37">
        <v>0</v>
      </c>
      <c r="BI61" s="37">
        <v>0</v>
      </c>
      <c r="BJ61" s="37">
        <v>0</v>
      </c>
      <c r="BK61" s="37">
        <v>0</v>
      </c>
      <c r="BL61" s="37">
        <v>0</v>
      </c>
      <c r="BM61" s="37">
        <v>0</v>
      </c>
      <c r="BN61" s="37">
        <v>0</v>
      </c>
      <c r="BO61" s="37">
        <v>1</v>
      </c>
      <c r="BP61" s="37">
        <v>1</v>
      </c>
      <c r="BQ61" s="37">
        <v>0</v>
      </c>
      <c r="BR61" s="37">
        <v>1</v>
      </c>
      <c r="BS61" s="37">
        <v>0</v>
      </c>
      <c r="BT61" s="37">
        <v>0</v>
      </c>
      <c r="BU61" s="37">
        <v>0</v>
      </c>
      <c r="BV61" s="37">
        <v>0</v>
      </c>
      <c r="BW61" s="37">
        <v>1</v>
      </c>
      <c r="BX61" s="37">
        <v>0</v>
      </c>
      <c r="BY61" s="37">
        <v>0</v>
      </c>
      <c r="BZ61" s="37">
        <v>0</v>
      </c>
      <c r="CA61" s="37">
        <v>0</v>
      </c>
      <c r="CB61" s="37">
        <v>0</v>
      </c>
      <c r="CC61" s="37">
        <v>0</v>
      </c>
      <c r="CD61" s="37">
        <v>1</v>
      </c>
      <c r="CE61" s="37">
        <v>0</v>
      </c>
      <c r="CF61" s="37">
        <v>1</v>
      </c>
      <c r="CG61" s="37">
        <v>0</v>
      </c>
      <c r="CH61" s="37">
        <v>1</v>
      </c>
      <c r="CI61" s="37">
        <v>0</v>
      </c>
      <c r="CJ61" s="37">
        <v>0</v>
      </c>
      <c r="CK61" s="37">
        <v>0</v>
      </c>
      <c r="CL61" s="37">
        <v>0</v>
      </c>
      <c r="CM61" s="60">
        <v>44204</v>
      </c>
      <c r="CN61" s="60">
        <v>44204</v>
      </c>
      <c r="CO61" s="48">
        <v>44344</v>
      </c>
      <c r="CP61" s="43">
        <f t="shared" si="5"/>
        <v>140</v>
      </c>
      <c r="CQ61" s="43" t="e">
        <f t="shared" si="6"/>
        <v>#VALUE!</v>
      </c>
      <c r="CR61" s="37" t="s">
        <v>184</v>
      </c>
      <c r="CS61" s="37" t="s">
        <v>184</v>
      </c>
      <c r="CT61" s="87"/>
      <c r="CU61" s="37">
        <v>0</v>
      </c>
      <c r="CV61" s="37">
        <v>1</v>
      </c>
      <c r="CW61" s="37" t="s">
        <v>432</v>
      </c>
      <c r="CX61" s="37">
        <v>0</v>
      </c>
      <c r="CY61" s="37">
        <v>1</v>
      </c>
      <c r="CZ61" s="37">
        <v>0</v>
      </c>
      <c r="DA61" s="37">
        <v>0</v>
      </c>
      <c r="DB61" s="37">
        <v>0</v>
      </c>
      <c r="DC61" s="37">
        <v>0</v>
      </c>
      <c r="DD61" s="38">
        <v>0</v>
      </c>
      <c r="DE61" s="37"/>
      <c r="DF61" s="38">
        <v>0</v>
      </c>
      <c r="DG61" s="38">
        <v>0</v>
      </c>
      <c r="DH61" s="38">
        <v>0</v>
      </c>
      <c r="DI61" s="38">
        <v>0</v>
      </c>
      <c r="DJ61" s="38">
        <v>0</v>
      </c>
      <c r="DK61" s="38">
        <v>0</v>
      </c>
      <c r="DL61" s="38">
        <v>0</v>
      </c>
      <c r="DM61" s="38">
        <v>0</v>
      </c>
      <c r="DN61" s="38">
        <v>0</v>
      </c>
      <c r="DO61" s="38">
        <v>0</v>
      </c>
      <c r="DP61" s="38">
        <v>0</v>
      </c>
      <c r="DQ61" s="38">
        <v>1</v>
      </c>
      <c r="DZ61" s="38">
        <v>3</v>
      </c>
      <c r="EA61" s="38">
        <v>5</v>
      </c>
      <c r="EB61" s="65" t="str">
        <f t="shared" si="3"/>
        <v>YES!</v>
      </c>
      <c r="EC61" s="110">
        <v>3593</v>
      </c>
      <c r="ED61" s="112" t="s">
        <v>433</v>
      </c>
      <c r="EE61" s="104">
        <v>74.25</v>
      </c>
      <c r="EF61" s="105">
        <v>28.5</v>
      </c>
      <c r="EG61" s="105">
        <v>389.5</v>
      </c>
      <c r="EH61" s="105">
        <v>10</v>
      </c>
      <c r="EI61" s="105">
        <v>106.75</v>
      </c>
      <c r="EJ61" s="105">
        <v>126.75</v>
      </c>
      <c r="EK61" s="105">
        <v>73.75</v>
      </c>
      <c r="EL61" s="105">
        <v>91.75</v>
      </c>
      <c r="EM61" s="105">
        <v>216.75</v>
      </c>
      <c r="EN61" s="106">
        <v>73</v>
      </c>
      <c r="EO61" s="104">
        <v>21439</v>
      </c>
      <c r="EP61" s="105">
        <v>12717.25</v>
      </c>
      <c r="EQ61" s="105">
        <v>58761</v>
      </c>
      <c r="ER61" s="105">
        <v>8796.75</v>
      </c>
      <c r="ES61" s="105">
        <v>95656.25</v>
      </c>
      <c r="ET61" s="105">
        <v>50988</v>
      </c>
      <c r="EU61" s="105">
        <v>68021</v>
      </c>
      <c r="EV61" s="105">
        <v>35693</v>
      </c>
      <c r="EW61" s="105">
        <v>64579.75</v>
      </c>
      <c r="EX61" s="107">
        <v>69569.25</v>
      </c>
    </row>
    <row r="62" spans="1:154" x14ac:dyDescent="0.3">
      <c r="A62" s="76">
        <v>3477</v>
      </c>
    </row>
  </sheetData>
  <conditionalFormatting sqref="CP2:CQ61">
    <cfRule type="cellIs" dxfId="0" priority="1" operator="between">
      <formula>0</formula>
      <formula>59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Peng, Beverly</cp:lastModifiedBy>
  <cp:revision/>
  <dcterms:created xsi:type="dcterms:W3CDTF">2024-09-26T14:20:45Z</dcterms:created>
  <dcterms:modified xsi:type="dcterms:W3CDTF">2024-10-24T17:36:35Z</dcterms:modified>
  <cp:category/>
  <cp:contentStatus/>
</cp:coreProperties>
</file>